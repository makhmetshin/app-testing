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Чек лист" sheetId="1" r:id="rId1"/>
    <sheet name="Тест кейсы" sheetId="2" r:id="rId2"/>
    <sheet name="Баг репорты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3" l="1"/>
  <c r="D39" i="1"/>
  <c r="D36" i="1"/>
  <c r="D60" i="1"/>
  <c r="D64" i="1"/>
  <c r="W14" i="3"/>
  <c r="S14" i="3"/>
  <c r="O14" i="3"/>
  <c r="K14" i="3"/>
  <c r="G14" i="3"/>
  <c r="C45" i="2"/>
  <c r="C37" i="2"/>
  <c r="C38" i="2"/>
  <c r="C39" i="2"/>
  <c r="C40" i="2"/>
  <c r="C41" i="2"/>
  <c r="C42" i="2"/>
  <c r="C43" i="2"/>
  <c r="C44" i="2"/>
  <c r="C25" i="2"/>
  <c r="C26" i="2"/>
  <c r="C27" i="2"/>
  <c r="C28" i="2"/>
  <c r="C29" i="2"/>
  <c r="C30" i="2"/>
  <c r="C31" i="2"/>
  <c r="C32" i="2"/>
  <c r="C33" i="2"/>
  <c r="C34" i="2"/>
  <c r="C35" i="2"/>
  <c r="C22" i="2"/>
  <c r="C23" i="2"/>
  <c r="C24" i="2"/>
  <c r="C14" i="2"/>
  <c r="C15" i="2"/>
  <c r="C16" i="2"/>
  <c r="C17" i="2"/>
  <c r="C18" i="2"/>
  <c r="C19" i="2"/>
  <c r="C20" i="2"/>
  <c r="C21" i="2"/>
  <c r="D58" i="1"/>
  <c r="D59" i="1"/>
  <c r="D61" i="1"/>
  <c r="D62" i="1"/>
  <c r="D63" i="1"/>
  <c r="D65" i="1"/>
  <c r="D66" i="1"/>
  <c r="D67" i="1"/>
  <c r="D57" i="1"/>
  <c r="D53" i="1"/>
  <c r="D50" i="1"/>
  <c r="D51" i="1"/>
  <c r="D49" i="1"/>
  <c r="D40" i="1"/>
  <c r="D41" i="1"/>
  <c r="D42" i="1"/>
  <c r="D43" i="1"/>
  <c r="D44" i="1"/>
  <c r="D45" i="1"/>
  <c r="D38" i="1"/>
  <c r="D34" i="1"/>
  <c r="D35" i="1"/>
  <c r="D30" i="1"/>
  <c r="D31" i="1"/>
  <c r="D32" i="1"/>
  <c r="D33" i="1"/>
  <c r="D29" i="1"/>
  <c r="G14" i="1"/>
  <c r="G13" i="1"/>
  <c r="G12" i="1"/>
  <c r="G11" i="1"/>
  <c r="G10" i="1"/>
  <c r="G9" i="1"/>
  <c r="G8" i="1"/>
  <c r="G7" i="1"/>
  <c r="G6" i="1"/>
  <c r="G5" i="1"/>
  <c r="G4" i="1"/>
  <c r="J14" i="1"/>
  <c r="J13" i="1"/>
  <c r="J12" i="1"/>
  <c r="J11" i="1"/>
  <c r="J10" i="1"/>
  <c r="J9" i="1"/>
  <c r="J8" i="1"/>
  <c r="J7" i="1"/>
  <c r="J6" i="1"/>
  <c r="J5" i="1"/>
  <c r="J4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<sst xmlns="http://schemas.openxmlformats.org/spreadsheetml/2006/main" count="552" uniqueCount="308">
  <si>
    <t>Краткое описание</t>
  </si>
  <si>
    <t>Тип документа</t>
  </si>
  <si>
    <t>Проект</t>
  </si>
  <si>
    <t>Автор</t>
  </si>
  <si>
    <t>Дата</t>
  </si>
  <si>
    <t>Область применения</t>
  </si>
  <si>
    <t>Документ описывает перечень групп тестов, планируемых к выполнению для тестирования</t>
  </si>
  <si>
    <t>Ахметшин Марат</t>
  </si>
  <si>
    <t>Инфотекс тестовый проект</t>
  </si>
  <si>
    <t>Чек лист + тест кейсы</t>
  </si>
  <si>
    <t>Не тестировался</t>
  </si>
  <si>
    <t>Пройден</t>
  </si>
  <si>
    <t>Не пройден</t>
  </si>
  <si>
    <t>В процессе</t>
  </si>
  <si>
    <t>Заблокирован</t>
  </si>
  <si>
    <t>Статистика функционального тестирования</t>
  </si>
  <si>
    <t>Всего проверок</t>
  </si>
  <si>
    <t>Процент выполнения</t>
  </si>
  <si>
    <t>Используемые обозначения статусов багов</t>
  </si>
  <si>
    <t>Minor</t>
  </si>
  <si>
    <t>Major</t>
  </si>
  <si>
    <t>Critical</t>
  </si>
  <si>
    <t>Blocker</t>
  </si>
  <si>
    <t>Trivial</t>
  </si>
  <si>
    <t>Не реализован</t>
  </si>
  <si>
    <t>Всего проверок осталось</t>
  </si>
  <si>
    <t>Статистика Smoke тестирования</t>
  </si>
  <si>
    <t>Статистика тестирования UI</t>
  </si>
  <si>
    <t>Используемые обозначения приоритетов багов</t>
  </si>
  <si>
    <t>Высокий</t>
  </si>
  <si>
    <t>Средний</t>
  </si>
  <si>
    <t>Низкий</t>
  </si>
  <si>
    <t>Проверка</t>
  </si>
  <si>
    <t>Ожидаемый результат</t>
  </si>
  <si>
    <t>Результат</t>
  </si>
  <si>
    <t>Функциональное тестирование</t>
  </si>
  <si>
    <t>Позитивные</t>
  </si>
  <si>
    <t>Создание запроса при заполнении минимума всех обязательных полей</t>
  </si>
  <si>
    <t>Отправка запроса в стороннюю организацию</t>
  </si>
  <si>
    <t>В БД появится соответствующая запись, а пользователю высветится окно ожидания</t>
  </si>
  <si>
    <t>По указанному пользователем пути сохрания появится файл с расширением pdf</t>
  </si>
  <si>
    <t>По указанному пользователем пути сохрания появится файл с расширением xml</t>
  </si>
  <si>
    <t>По указанному пользователем пути сохрания появится файл с расширением json</t>
  </si>
  <si>
    <t>Печатание полученных от сторонней организации данных при настроенном принтере</t>
  </si>
  <si>
    <t>Проверка электронной подписи полученных от сторонней организации данных</t>
  </si>
  <si>
    <t>Откроется системное окно печати</t>
  </si>
  <si>
    <t>Пользователю высветится окно об успешном подтверждении подписи</t>
  </si>
  <si>
    <t>Создание запроса при заполнении минимума всех обязательных полей и дополнительно активации чекбокса и заполнение выпадающих полей</t>
  </si>
  <si>
    <t>Сохранение полученного от сторонней организации ответа в формате pdf</t>
  </si>
  <si>
    <t>Сохранение полученного от сторонней организации ответа в формате xml</t>
  </si>
  <si>
    <t>Сохранение полученного от сторонней организации ответа в формате JSON</t>
  </si>
  <si>
    <t>Пользователю должен отобразиться ответ в дочернем окне</t>
  </si>
  <si>
    <t>Негативные</t>
  </si>
  <si>
    <t>Пользователю высветится подсказка об ошибке ввода данных</t>
  </si>
  <si>
    <t>Создание запроса при заполнении всех нужных минимальных полей, и дополнительно активации чекбокса и заполнение не всех обязательных выпадающих полей</t>
  </si>
  <si>
    <t>Сохранение полученного от сторонней организации ответа в любом формате не являющимся pdf, xml, JSON</t>
  </si>
  <si>
    <t>Печатание полученных от сторонней организации данных при ненастроенном принтере</t>
  </si>
  <si>
    <t>Пользователю высветится подсказка об ошибке работы с принтером</t>
  </si>
  <si>
    <t>Пользователю высветится подсказка об ошибке при сохранении файла</t>
  </si>
  <si>
    <t>Создание запроса при невыбранном значении состояния ЭСП</t>
  </si>
  <si>
    <t>Отправка запроса с последующим выходом из окна ожидания</t>
  </si>
  <si>
    <t>Smoke тестирование</t>
  </si>
  <si>
    <t>Отобразится главная панель инструментов</t>
  </si>
  <si>
    <t>Запустить приложение</t>
  </si>
  <si>
    <t>Отправить запрос</t>
  </si>
  <si>
    <t>Отобразится окно ожидания, а затем дочернее окно с полученным ответом</t>
  </si>
  <si>
    <t>После отправки запроса выйти из формы</t>
  </si>
  <si>
    <t>Приложение работает в штантном режиме</t>
  </si>
  <si>
    <t>Отправить запрос и принудительно закрыть приложение не дожидаясь ответа</t>
  </si>
  <si>
    <t>Пользователю высветится вопрос о его намерении прервать транзакцию</t>
  </si>
  <si>
    <t>При новом заходе в приложение появится уведомление о результате запроса</t>
  </si>
  <si>
    <t>Тестирование UI</t>
  </si>
  <si>
    <t>Проверить отсутствие орфографических ошибок</t>
  </si>
  <si>
    <t>Отсутствие орфографических ошибок</t>
  </si>
  <si>
    <t>Проверить во все ли предоставляемые поля форм можно вводить значения</t>
  </si>
  <si>
    <t>Проверить хорошо ли читается текст</t>
  </si>
  <si>
    <t>Проверить что окно формы запроса оформлено в одном наборе цветов и выполнено в общей цветовой тематике приложения</t>
  </si>
  <si>
    <t>Проверить корректно ли окно отображается в разрешении 1920x1080</t>
  </si>
  <si>
    <t>Проверить корректно ли окно отображается в разрешении 1366x768</t>
  </si>
  <si>
    <t>Проверить корректно ли окно отображается в разрешении 1536x864</t>
  </si>
  <si>
    <t>Проверить корректно ли окно отображается в разрешении 1280x720</t>
  </si>
  <si>
    <t>Проверить корректно ли окно отображается в разрешении 1440x900</t>
  </si>
  <si>
    <t>Проверить корректно ли окно отображается в разрешении 2560x1440</t>
  </si>
  <si>
    <t>Проверить корректность отображения изображений если они есть</t>
  </si>
  <si>
    <t>Текст хорошо читается</t>
  </si>
  <si>
    <t>Все формы поддерживают ввод данных</t>
  </si>
  <si>
    <t>Цветовая гамма такая же как во всем остальном приложении</t>
  </si>
  <si>
    <t>Изображения корректно отображаются и имеют правильную позицию</t>
  </si>
  <si>
    <t>Все элементы интерфейса подстроились, аномалии, ошибки в позиционировании элементов отсутствуют</t>
  </si>
  <si>
    <t>ID</t>
  </si>
  <si>
    <t>CL-FUNC-POS-1</t>
  </si>
  <si>
    <t>CL-FUNC-POS-2</t>
  </si>
  <si>
    <t>CL-FUNC-POS-3</t>
  </si>
  <si>
    <t>CL-FUNC-POS-4</t>
  </si>
  <si>
    <t>CL-FUNC-POS-5</t>
  </si>
  <si>
    <t>CL-FUNC-POS-6</t>
  </si>
  <si>
    <t>CL-FUNC-POS-7</t>
  </si>
  <si>
    <t>CL-FUNC-POS-8</t>
  </si>
  <si>
    <t>CL-FUNC-NEG-1</t>
  </si>
  <si>
    <t>CL-FUNC-NEG-2</t>
  </si>
  <si>
    <t>CL-FUNC-NEG-3</t>
  </si>
  <si>
    <t>CL-FUNC-NEG-4</t>
  </si>
  <si>
    <t>CL-FUNC-NEG-5</t>
  </si>
  <si>
    <t>CL-FUNC-NEG-6</t>
  </si>
  <si>
    <t>CL-FUNC-NEG-7</t>
  </si>
  <si>
    <t>CL-FUNC-NEG-8</t>
  </si>
  <si>
    <t>CL-SMOKE-POS-1</t>
  </si>
  <si>
    <t>CL-SMOKE-POS-2</t>
  </si>
  <si>
    <t>CL-SMOKE-POS-3</t>
  </si>
  <si>
    <t>CL-SMOKE-NEG-1</t>
  </si>
  <si>
    <t>CL-UI-POS-1</t>
  </si>
  <si>
    <t>CL-UI-POS-2</t>
  </si>
  <si>
    <t>CL-UI-POS-3</t>
  </si>
  <si>
    <t>CL-UI-POS-4</t>
  </si>
  <si>
    <t>CL-UI-POS-5</t>
  </si>
  <si>
    <t>CL-UI-POS-6</t>
  </si>
  <si>
    <t>CL-UI-POS-7</t>
  </si>
  <si>
    <t>CL-UI-POS-8</t>
  </si>
  <si>
    <t>CL-UI-POS-9</t>
  </si>
  <si>
    <t>CL-UI-POS-10</t>
  </si>
  <si>
    <t>CL-UI-POS-11</t>
  </si>
  <si>
    <t>CL_ID</t>
  </si>
  <si>
    <t>test-case-ID</t>
  </si>
  <si>
    <t>Название</t>
  </si>
  <si>
    <t>Тип теста</t>
  </si>
  <si>
    <t>Предусловия</t>
  </si>
  <si>
    <t>Тестовые данные</t>
  </si>
  <si>
    <t>Шаги выполнения</t>
  </si>
  <si>
    <t>Позитивный</t>
  </si>
  <si>
    <t>TC-1</t>
  </si>
  <si>
    <t>TC-2</t>
  </si>
  <si>
    <t>TC-3</t>
  </si>
  <si>
    <t>TC-4</t>
  </si>
  <si>
    <t>TC-5</t>
  </si>
  <si>
    <t>TC-6</t>
  </si>
  <si>
    <t>TC-7</t>
  </si>
  <si>
    <t>TC-8</t>
  </si>
  <si>
    <t>TC-9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</si>
  <si>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</si>
  <si>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</si>
  <si>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</si>
  <si>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</si>
  <si>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</si>
  <si>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</si>
  <si>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</si>
  <si>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</si>
  <si>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</si>
  <si>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</si>
  <si>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</si>
  <si>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</si>
  <si>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</si>
  <si>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</si>
  <si>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</si>
  <si>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</si>
  <si>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TC-26</t>
  </si>
  <si>
    <t>TC-27</t>
  </si>
  <si>
    <t>TC-28</t>
  </si>
  <si>
    <t>TC-29</t>
  </si>
  <si>
    <t>TC-30</t>
  </si>
  <si>
    <t>TC-31</t>
  </si>
  <si>
    <t>Негативный</t>
  </si>
  <si>
    <t>Тест кейсы</t>
  </si>
  <si>
    <t>Документ описывает тесты кейсы на каждый пункт из документа где описан чек лист</t>
  </si>
  <si>
    <t>Пользователь открыл приложение, выбрал интересующий его запрос, открыл форму запроса нажав кнопку: "Открыть форму запроса"</t>
  </si>
  <si>
    <t>Для удобства копирования при работе с UI и возможной работы через Postman тестовые данные приведены в JSON</t>
  </si>
  <si>
    <t>{
  "LastName": "Ivanov",
  "FirstName": "Ivan",
  "MiddleName": "Ivanovich",
  "INN": "312422191601",
  "DateOfBirth": "31.01.2002",
  "ESP_Rights": {
    "From": "31.01.2026",
    "To": "31.01.2027"
  },
  "ESP_Status": "NEW",
  "IdentityDocument": {
    "Enabled": true,
    "DocumentType": "Russian Federation Passport",
    "SeriesAndNumber": "1111 111111",
    "IssueDate": "31.01.2022"
  }
}</t>
  </si>
  <si>
    <t>1. Заполнить поля: Фамилия, имя, отчество, ИНН, дата рождения, состояние ЭСП согласно тестовым данным.
2.Нажать кнопку: "Сохранить и отправить"</t>
  </si>
  <si>
    <r>
      <t>{
  "LastName": "Ivanov",
  "FirstName": "Ivan",
  "MiddleName": "Ivanovich",
  "INN": "312422191601",
  "DateOfBirth": "31.01.2002",
  "ESP_Rights": {
    "From": "31.01.2026",
    "To": "31.01.2027"
  },
  "ESP_Status": "NEW",
  "IdentityDocument": {</t>
    </r>
    <r>
      <rPr>
        <i/>
        <sz val="11"/>
        <color theme="1"/>
        <rFont val="Calibri"/>
        <family val="2"/>
        <charset val="204"/>
        <scheme val="minor"/>
      </rPr>
      <t>}</t>
    </r>
    <r>
      <rPr>
        <sz val="11"/>
        <color theme="1"/>
        <rFont val="Calibri"/>
        <family val="2"/>
        <scheme val="minor"/>
      </rPr>
      <t xml:space="preserve">
}</t>
    </r>
  </si>
  <si>
    <t>Пользователь открыл приложение, выбрал интересующий его запрос, открыл форму запроса нажав кнопку: "Открыть форму запроса", ввел корректные данные</t>
  </si>
  <si>
    <t>1. Заполнить поля: Фамилия, имя, отчество, ИНН, дата рождения, состояние ЭСП, паспортные данные согласно тестовым данным.
2.Нажать кнопку: "Сохранить и отправить"</t>
  </si>
  <si>
    <t>1. Высветилось окно ожидания 
2. В БД в таблице, например, organization создана новая запись в статусе NEW</t>
  </si>
  <si>
    <t>Отправка запроса и получение данных от сторонней организации</t>
  </si>
  <si>
    <t>1. Высветилось окно ожидания 
2. В БД в таблице, например, organization создана новая запись в статусе NEW
3. В топике Kafka (например, organization.esp.requested) появилось сообщение описывающее сделанный запрос
 4. В БД в таблице organization в записи ответственной за данный запрос изменится статус с NEW на PENDING</t>
  </si>
  <si>
    <t>Пользователь открыл приложение, выбрал интересующий его запрос, открыл форму запроса нажав кнопку: "Открыть форму запроса", ввел корректные данные, нажал "Сохранить и отправить", в kafka в топике organization.esp.requested уже появилось сообщение связанное с этим запросом</t>
  </si>
  <si>
    <t>Комментарий</t>
  </si>
  <si>
    <t xml:space="preserve">1. Дождаться пока сервис сможет получить ответ от внешней организации
2.В UI в дочернем окне появлось сообщение об успешном получении данных
3. В БД в таблице organization у записи изменился статус на FINISHED
</t>
  </si>
  <si>
    <t xml:space="preserve">Если все произошло слишком быстро, и статус не удалось отследить в БД в таблице, то можно проверить изменения статусов запроса в соответствующей таблице аудита </t>
  </si>
  <si>
    <t>Пользователь открыл приложение, выбрал интересующий его запрос, открыл форму запроса нажав кнопку: "Открыть форму запроса", ввел корректные данные, нажал "Сохранить и отправить", получил ответ в дочернем окне</t>
  </si>
  <si>
    <t xml:space="preserve">1. В указанном месте на диске должен появиться рабочий файл pdf
</t>
  </si>
  <si>
    <t xml:space="preserve">1. В указанном месте на диске должен появиться рабочий файл xml
</t>
  </si>
  <si>
    <t xml:space="preserve">1. В указанном месте на диске должен появиться рабочий файл JSON
</t>
  </si>
  <si>
    <t>Пользователь настроил и подключил к компьютеру принтер, открыл приложение, выбрал интересующий его запрос, открыл форму запроса нажав кнопку: "Открыть форму запроса", ввел корректные данные, нажал "Сохранить и отправить", получил ответ в дочернем окне</t>
  </si>
  <si>
    <t>1. Нажать на кнопку "Печать…"</t>
  </si>
  <si>
    <t>1. Открылось системное диалоговое окно печати</t>
  </si>
  <si>
    <t>1. Нажать на кнопку "Сохранить…"
2. Выбрать из предложенных опций xml
3. Задать корректный путь до файла
4. Нажать кнопку "ОК"</t>
  </si>
  <si>
    <t>1. Нажать на кнопку "Сохранить…"
2. Выбрать из предложенных опций pdf
3. Задать корректный путь до файла
4. Нажать кнопку "ОК"</t>
  </si>
  <si>
    <t>1. Нажать на кнопку "Сохранить…"
2. Выбрать из предложенных опций JSON
3. Задать корректный путь до файла
4. Нажать кнопку "ОК"</t>
  </si>
  <si>
    <t>1. Нажать на кнопку "Проверить подпись…"</t>
  </si>
  <si>
    <t>1. Высветилось сообщение об успешной проверке электронной подписи</t>
  </si>
  <si>
    <t>Запущена машина с установленным приложением</t>
  </si>
  <si>
    <t>1. Запустить приложение на рабочем столе</t>
  </si>
  <si>
    <t>1. Появился интерфейс и основная панель</t>
  </si>
  <si>
    <t xml:space="preserve">Пользователь открыл приложение, выбрал интересующий его запрос, открыл форму запроса нажав кнопку: "Открыть форму запроса", ввел корректные данные, </t>
  </si>
  <si>
    <t>1. Нажать "Сохранить и отправить"</t>
  </si>
  <si>
    <t>1. Получен ответ в дочернем окне об успешном запросе</t>
  </si>
  <si>
    <t>1. Выйти из формы</t>
  </si>
  <si>
    <t>1. Приложение работает в штатном режиме</t>
  </si>
  <si>
    <t>1. Просмотреть текст на наличие ошибок</t>
  </si>
  <si>
    <t>1. Ошибок не обнаружено</t>
  </si>
  <si>
    <t>1. Поочередно во всех интерактивные места формы занести данные</t>
  </si>
  <si>
    <t>1. Все поля формы откликаются и принимают корректно данные</t>
  </si>
  <si>
    <t>1. Просмотреть текст на наличие слишком мелкого шрифта или наличие сливающегося с фоном текста</t>
  </si>
  <si>
    <t>1. Текст хорошо читаем</t>
  </si>
  <si>
    <t>1. Просмотреть оформление формы</t>
  </si>
  <si>
    <t>1. Проверить что изображения не съехали, имеют нужный размер и присутствуют</t>
  </si>
  <si>
    <t>1. Цветовая гамма такая же как во всем остальном приложении</t>
  </si>
  <si>
    <t>1. Все изображения в наличии на своих местах</t>
  </si>
  <si>
    <t>Пользователь открыл приложение в разрешении 1920x1080, выбрал интересующий его запрос, открыл форму запроса нажав кнопку: "Открыть форму запроса"</t>
  </si>
  <si>
    <t>1. Проверить что интерфейс корректно перестроился</t>
  </si>
  <si>
    <t>Пользователь открыл приложение в разрешении 1366x768, выбрал интересующий его запрос, открыл форму запроса нажав кнопку: "Открыть форму запроса"</t>
  </si>
  <si>
    <t>Пользователь открыл приложение в разрешении 1536x864, выбрал интересующий его запрос, открыл форму запроса нажав кнопку: "Открыть форму запроса"</t>
  </si>
  <si>
    <t>Пользователь открыл приложение в разрешении 1280x720, выбрал интересующий его запрос, открыл форму запроса нажав кнопку: "Открыть форму запроса"</t>
  </si>
  <si>
    <t>Пользователь открыл приложение в разрешении 1440x900, выбрал интересующий его запрос, открыл форму запроса нажав кнопку: "Открыть форму запроса"</t>
  </si>
  <si>
    <t>Пользователь открыл приложение в разрешении 2560x1440, выбрал интересующий его запрос, открыл форму запроса нажав кнопку: "Открыть форму запроса"</t>
  </si>
  <si>
    <t>Создание запроса при отсутствии заполнения ФИО</t>
  </si>
  <si>
    <t>Создание запроса при отсутствии заполнения ИНН</t>
  </si>
  <si>
    <t>Создание запроса при отсутствии заполнения даты</t>
  </si>
  <si>
    <t>{
  "LastName": "",
  "FirstName": "",
  "MiddleName": "",
  "INN": "312422191601",
  "DateOfBirth": "31.01.2002",
  "ESP_Rights": {
    "From": "31.01.2026",
    "To": "31.01.2027"
  },
  "ESP_Status": "NEW",
  "IdentityDocument": {
    "Enabled": true,
    "DocumentType": "Russian Federation Passport",
    "SeriesAndNumber": "1111 111111",
    "IssueDate": "31.01.2022"
  }
}</t>
  </si>
  <si>
    <t>Пользователь открыл приложение, выбрал интересующий его запрос, открыл форму запроса нажав кнопку: "Открыть форму запроса", ввел тестовые данные</t>
  </si>
  <si>
    <t>{
  "LastName": "Ivanov",
  "FirstName": "Ivan",
  "MiddleName": "Ivanovich",
  "INN": "",
  "DateOfBirth": "31.01.2002",
  "ESP_Rights": {
    "From": "31.01.2026",
    "To": "31.01.2027"
  },
  "ESP_Status": "NEW",
  "IdentityDocument": {
    "Enabled": true,
    "DocumentType": "Russian Federation Passport",
    "SeriesAndNumber": "1111 111111",
    "IssueDate": "31.01.2022"
  }
}</t>
  </si>
  <si>
    <t>{
  "LastName": "Ivanov",
  "FirstName": "Ivan",
  "MiddleName": "Ivanovich",
  "INN": "312422191601",
  "DateOfBirth": "",
  "ESP_Rights": {
    "From": "31.01.2026",
    "To": "31.01.2027"
  },
  "ESP_Status": "NEW",
  "IdentityDocument": {
    "Enabled": true,
    "DocumentType": "Russian Federation Passport",
    "SeriesAndNumber": "1111 111111",
    "IssueDate": "31.01.2022"
  }
}</t>
  </si>
  <si>
    <t>{
  "LastName": "Ivanov",
  "FirstName": "Ivan",
  "MiddleName": "Ivanovich",
  "INN": "312422191601",
  "DateOfBirth": "31.01.2002",
  "ESP_Rights": {
    "From": "31.01.2026",
    "To": "31.01.2027"
  },
  "ESP_Status": "",
  "IdentityDocument": {
    "Enabled": true,
    "DocumentType": "Russian Federation Passport",
    "SeriesAndNumber": "1111 111111",
    "IssueDate": "31.01.2022"
  }
}</t>
  </si>
  <si>
    <t>1. Не выбирать из предложенных опций состояние ЭСП
2.  Нажать "Сохранить и отправить"</t>
  </si>
  <si>
    <t>1. Нажать "Сохранить и отправить"
2. Не дожидаясь ответа выйти из окна ожидания</t>
  </si>
  <si>
    <t>1. Выведено сообщение с текстом: "Вы уверены, что хотите выйти? Ваш запрос не будет обработан"</t>
  </si>
  <si>
    <t>{
  "LastName": "Ivanov",
  "FirstName": "Ivan",
  "MiddleName": "Ivanovich",
  "INN": "312422191601",
  "DateOfBirth": "31.01.2002",
  "ESP_Rights": {
    "From": "31.01.2026",
    "To": "31.01.2027"
  },
  "ESP_Status": "NEW",
  "IdentityDocument": {
    "Enabled": true,
    "DocumentType": "Russian Federation Passport",
    "SeriesAndNumber": "",
    "IssueDate": ""
  }
}</t>
  </si>
  <si>
    <t>1. Нажать чекбокс "Документ удостоверяющий личность"
2.  Не вводить паспотрные данные
2.  Нажать "Сохранить и отправить"</t>
  </si>
  <si>
    <r>
      <t xml:space="preserve">Создание запроса при заполнении всех нужных минимальных полей, и дополнительно активации чекбокса и заполнение </t>
    </r>
    <r>
      <rPr>
        <b/>
        <sz val="11"/>
        <color theme="1"/>
        <rFont val="Calibri"/>
        <family val="2"/>
        <charset val="204"/>
        <scheme val="minor"/>
      </rPr>
      <t xml:space="preserve">не всех </t>
    </r>
    <r>
      <rPr>
        <sz val="11"/>
        <color theme="1"/>
        <rFont val="Calibri"/>
        <family val="2"/>
        <scheme val="minor"/>
      </rPr>
      <t>обязательных выпадающих полей</t>
    </r>
  </si>
  <si>
    <t>1. Выведено сообщение: "Паспортные данные обязательны к заполнению"</t>
  </si>
  <si>
    <t>1. Выведено сообщение: "ЭСП обязательно к заполнению"</t>
  </si>
  <si>
    <t>1. Выведено сообщение: "ФИО обязательно к заполнению"</t>
  </si>
  <si>
    <t>1. Выведено сообщение: "ИНН обязательно к заполнению"</t>
  </si>
  <si>
    <t>1. Выведено сообщение: "дата рождения обязательна к заполнению"</t>
  </si>
  <si>
    <t>Пользователь открыл приложение, выбрал интересующий его запрос, открыл форму запроса нажав кнопку: "Открыть форму запроса", ввел корректные данные, дождался получения ответа от внешней системы</t>
  </si>
  <si>
    <t>1. В открывшемся окне нажать кнопку: "Сохранить..."
2. В открывшемся диалоговом окне выбрать любую опцию из JSON, XML, pdf
3. При указании пути, добавить в конце расширение не являющееся JSON, XML, pdf</t>
  </si>
  <si>
    <t>1. Получено сообщение: "Указан неподдерживаемый формат файла"</t>
  </si>
  <si>
    <t>Пользователь не настроил принтер, открыл приложение, выбрал интересующий его запрос, открыл форму запроса нажав кнопку: "Открыть форму запроса", ввел корректные данные, нажал "Сохранить и отправить", получил ответ в дочернем окне</t>
  </si>
  <si>
    <t>1. Высветилось сообщение: "Нет доступных принтеров для печати"</t>
  </si>
  <si>
    <t>1. Нажать "Сохранить и отправить"
2. Не дожидаясь ответа принудительно закрыть приложение
3. Запустить приложение заново</t>
  </si>
  <si>
    <t>1. Приложение работает в штатном режиме, информации об предыдущем запросе нигде не отображается (нет неожиданно выскакивающих окон)</t>
  </si>
  <si>
    <t>Баг репорты</t>
  </si>
  <si>
    <t>Документ описывает гипотетические баг репорты</t>
  </si>
  <si>
    <t>Комментарий:</t>
  </si>
  <si>
    <t xml:space="preserve">Версия </t>
  </si>
  <si>
    <t>Приоритет</t>
  </si>
  <si>
    <t>Статус</t>
  </si>
  <si>
    <t>Исполнитель</t>
  </si>
  <si>
    <t>Шаги к воспроизведению</t>
  </si>
  <si>
    <t>Фактический результат</t>
  </si>
  <si>
    <t>Комментарии/вложения</t>
  </si>
  <si>
    <t>Серьезность</t>
  </si>
  <si>
    <t>Описание</t>
  </si>
  <si>
    <t>app-1.8-SNAPSHOT</t>
  </si>
  <si>
    <t>Ахметшин Марат Дамирович</t>
  </si>
  <si>
    <t>Дмитриев Иван Петрович</t>
  </si>
  <si>
    <t>В работе</t>
  </si>
  <si>
    <t>Высветилось сообщение об успешной проверке электронной подписи</t>
  </si>
  <si>
    <t>Высветилось сообщение: "500 Internal Server Error"</t>
  </si>
  <si>
    <t>Данные для ввода: 
{
  "LastName": "Ivanov",
  "FirstName": "Ivan",
  "MiddleName": "Ivanovich",
  "INN": "312422191601",
  "DateOfBirth": "31.01.2002",
  "ESP_Rights": {
    "From": "31.01.2026",
    "To": "31.01.2027"
  },
  "ESP_Status": "NEW",
  "IdentityDocument": {
    "Enabled": true,
    "DocumentType": "Russian Federation Passport",
    "SeriesAndNumber": "1111 111111",
    "IssueDate": "31.01.2022"
  }
}
здесь могло быть фото</t>
  </si>
  <si>
    <t>bug/KRK-90</t>
  </si>
  <si>
    <t>bug/KRK-91</t>
  </si>
  <si>
    <t>Окно некорректно отображается в разрешении 1536x864</t>
  </si>
  <si>
    <t xml:space="preserve">1. Открыть приложение в разрешении 1536x864
2. Выбрать интересующий его запрос
3. Открыть форму запроса нажав кнопку: "Открыть форму запроса", 
</t>
  </si>
  <si>
    <t>1. Открыть приложение 
2. Выбрать интересующий его запрос
3. Открыть форму запроса нажав кнопку: "Открыть форму запроса", 
4. Ввести корректные данные
5. Нажать "Сохранить и отправить", 
6. Получить ответ в дочернем окне 
7. Нажать на кнопку "Проверить подпись…"</t>
  </si>
  <si>
    <t>Иванова Анна Владимировна</t>
  </si>
  <si>
    <t>Кнопки :"Проверить подпись...", "Печать...", "Сохранить..." наехали на поля формы: "Дата рождения" и "Право использовать ЭСП предоставляется по"</t>
  </si>
  <si>
    <t xml:space="preserve">
здесь могло быть фото</t>
  </si>
  <si>
    <t>В БД нет таблицы organization</t>
  </si>
  <si>
    <t>bug/KRK-92</t>
  </si>
  <si>
    <t>Исправлен</t>
  </si>
  <si>
    <t xml:space="preserve">1. Открыть БД приложения
2. Произвести поиск таблицы organisations
</t>
  </si>
  <si>
    <t xml:space="preserve">
здесь могло быть фото ER диаграммы</t>
  </si>
  <si>
    <t>Таблица organisation присутсвует в БД, все поля на месте и имеют тип как в документации</t>
  </si>
  <si>
    <t>bug/KRKW-243</t>
  </si>
  <si>
    <t xml:space="preserve">1. Открыть приложение 
2. Выбрать интересующий его запрос
3. Открыть форму запроса нажав кнопку: "Открыть форму запроса", </t>
  </si>
  <si>
    <t>Кнопка "Сохранить и отправить" в окне "имя окна по ЧТЗ" имеет неправильный цвет</t>
  </si>
  <si>
    <t>Кнопка "Сохранить и отправить" имеет серый цвет</t>
  </si>
  <si>
    <t>Кнопка "Сохранить и отправить" имеет желтый цвет</t>
  </si>
  <si>
    <t xml:space="preserve">
здесь могло быть фото окна</t>
  </si>
  <si>
    <t>bug/KRKW-244</t>
  </si>
  <si>
    <t>Отправляется запрос при незаполненном ИНН</t>
  </si>
  <si>
    <t xml:space="preserve">1. Открыть приложение 
2. Выбрать интересующий его запрос
3. Открыть форму запроса нажав кнопку: "Открыть форму запроса", 
4. Ввести корректные данные без ИНН
5. Нажать "Сохранить и отправить", </t>
  </si>
  <si>
    <t>Данные для ввода: 
{
  "LastName": "Ivanov",
  "FirstName": "Ivan",
  "MiddleName": "Ivanovich",
  "INN": "",
  "DateOfBirth": "31.01.2002",
  "ESP_Rights": {
    "From": "31.01.2026",
    "To": "31.01.2027"
  },
  "ESP_Status": "NEW",
  "IdentityDocument": {
    "Enabled": true,
    "DocumentType": "Russian Federation Passport",
    "SeriesAndNumber": "1111 111111",
    "IssueDate": "31.01.2022"
  }
}
здесь могло быть фото</t>
  </si>
  <si>
    <t>Приложение выводит на экран сообщение с ошибкой: "500 Internal Server Error"</t>
  </si>
  <si>
    <t>Приложение выводит на экран сообщение с подсказкой: "ИНН обязательно к заполнению"</t>
  </si>
  <si>
    <t xml:space="preserve">В задании сказано, что если что-то не обговорено, то можно додумать в системе функционал. 
1. Я для интереса придумал, что у нас есть еще Apache Kafka, для отказоустойчивости и запросы к внешней системе идут через туда (при получении от фронтэнда запрос на данные от внешней системы ложится сообщение в топик organization.esp.requested). И потом приложение когда может под нагрузкой читает это сообщение и возвращает ответ, который потом фронтэнд подтянет. Даже если внешняя система не отвечает, то просто не будет подтвеждаться обработка сообщения - приложение чуть позже попробует снова. 
2. И еще я додумал, что в приложении есть механизм аудирования таблиц бд и что тестировщик может по этим таблицам аудирования смотреть как все менялось.
</t>
  </si>
  <si>
    <t xml:space="preserve">3. И еще я додумал, что апи в приложении такое:
{
  "LastName": "Ivanov",
  "FirstName": "Ivan",
  "MiddleName": "Ivanovich",
  "INN": "312422191601",
  "DateOfBirth": "31.01.2002",
  "ESP_Rights": {
    "From": "31.01.2026",
    "To": "31.01.2027"
  },
  "ESP_Status": "NEW",
  "IdentityDocument": {
    "Enabled": true,
    "DocumentType": "Russian Federation Passport",
    "SeriesAndNumber": "1111 111111",
    "IssueDate": "31.01.2022"
  }
}
Они разные бывают насколько я знаю. Бывают camelCase snake_case, в данном случае тут PascalCase. Я у агрегатора ФССП даже видел апи на русском языке. </t>
  </si>
  <si>
    <t>Обоснование:</t>
  </si>
  <si>
    <t>Приоритет высокий, а серьезность Major выбраны потому что функционал проверки электронной подписи очень важен. Покольку тут идет работа со способами оплаты, то надо гарантировать, что ответ пришел от добросовестной компании, а не от мошенника.</t>
  </si>
  <si>
    <t>Приоритет средний а серьезность minor - я додумал, что баг не ломает функционал, а просто кнопки немного наехали на поля форму, то есть пользоваться можно, но выглядит странно. Поэтому такой приоритет и серьезность.</t>
  </si>
  <si>
    <t>Приоритет высокий, а серьезность Major выбраны потому что раз нет таблицы, значит и функционал не работает совсем. Приложение не ломается полностью, просто функционал отправки запроса не работает.</t>
  </si>
  <si>
    <t>Trivial потому что ничего не ломает, а приоритет высокий, потому что приложение должно выглядеть красиво и придерживаться цветов бренда</t>
  </si>
  <si>
    <t>Серьезность Major а приоритет высокий, потому что это очень портит пользовательский опыт. Человек просто ИНН забыл ввести, а у него 500 ошибка</t>
  </si>
  <si>
    <t>Аргументирование взятия тест кейса при возможности выполнения только 50 % тест кейсов</t>
  </si>
  <si>
    <t>Не берем, он частично покрывается тест кейсом TC-3</t>
  </si>
  <si>
    <t>Берем, он покрывает главный use-case</t>
  </si>
  <si>
    <t>Берем, pdf один из самых популярных форматов</t>
  </si>
  <si>
    <t>Не берем, минимум протестируем pdf</t>
  </si>
  <si>
    <t>Не берем, пользователь может скачать pdf и распечатать сам</t>
  </si>
  <si>
    <t>Берем, это одна из самых важных функций. При работе с ЭСП и вообще важно знать, что ответ от надежного источника</t>
  </si>
  <si>
    <t>Берем все Smoke тестирование и делаем его в первую очередь, так как оно быстрое</t>
  </si>
  <si>
    <t>Берем все негативные тест кейсы, так как разработчики часто допускают тут больше всего ошибок</t>
  </si>
  <si>
    <t xml:space="preserve">Комментарий: </t>
  </si>
  <si>
    <t>Если гипотетически будет возможность выполнить только 40 - 50 % тест кейсов, то таковы мои мысли:
Надо взять все Smoke кейсы - они выполняются быстро и проверяют важнейшие функции приложения, надо взять все негативные кейсы - по опыту разработчики там допускают ошибки чаще всего, и надо взять тест кейсы: ТС-3, ТС-4, ТС-8, потому что если функционал этих кейсов работает, то в случае багов в других, они дают обходной путь чтобы пользователь смог бы достичь своей цели и не получил бы негативного опыта.  Как раз набирается 15 из 31 - 48 % тест кейсов.</t>
  </si>
  <si>
    <t>Не берем, не столь критично как остальное</t>
  </si>
  <si>
    <t>Не берем, это важно, но мест уже нет, фронтэндеры редко здесь допускают ошибки</t>
  </si>
  <si>
    <t>Не берем, пользователь может изменить размер окна</t>
  </si>
  <si>
    <t>Используемые обозначения статусов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</si>
</sst>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4" borderId="10" xfId="0" applyFill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6" xfId="0" applyBorder="1"/>
    <xf numFmtId="0" fontId="0" fillId="5" borderId="6" xfId="0" applyFill="1" applyBorder="1"/>
    <xf numFmtId="0" fontId="0" fillId="7" borderId="6" xfId="0" applyFill="1" applyBorder="1"/>
    <xf numFmtId="0" fontId="0" fillId="11" borderId="6" xfId="0" applyFill="1" applyBorder="1"/>
    <xf numFmtId="0" fontId="0" fillId="3" borderId="6" xfId="0" applyFill="1" applyBorder="1"/>
    <xf numFmtId="0" fontId="0" fillId="6" borderId="6" xfId="0" applyFill="1" applyBorder="1"/>
    <xf numFmtId="0" fontId="0" fillId="13" borderId="6" xfId="0" applyFill="1" applyBorder="1" applyAlignment="1">
      <alignment wrapText="1"/>
    </xf>
    <xf numFmtId="0" fontId="0" fillId="8" borderId="6" xfId="0" applyFill="1" applyBorder="1" applyAlignment="1">
      <alignment wrapText="1"/>
    </xf>
    <xf numFmtId="0" fontId="0" fillId="9" borderId="6" xfId="0" applyFill="1" applyBorder="1"/>
    <xf numFmtId="0" fontId="0" fillId="0" borderId="2" xfId="0" applyBorder="1"/>
    <xf numFmtId="0" fontId="0" fillId="0" borderId="0" xfId="0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1" xfId="0" applyBorder="1"/>
    <xf numFmtId="0" fontId="0" fillId="10" borderId="15" xfId="0" applyFill="1" applyBorder="1"/>
    <xf numFmtId="0" fontId="0" fillId="10" borderId="17" xfId="0" applyFill="1" applyBorder="1"/>
    <xf numFmtId="0" fontId="0" fillId="10" borderId="16" xfId="0" applyFill="1" applyBorder="1"/>
    <xf numFmtId="0" fontId="0" fillId="14" borderId="7" xfId="0" applyFill="1" applyBorder="1" applyAlignment="1">
      <alignment wrapText="1"/>
    </xf>
    <xf numFmtId="0" fontId="0" fillId="0" borderId="8" xfId="0" applyBorder="1"/>
    <xf numFmtId="0" fontId="1" fillId="0" borderId="18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14" borderId="9" xfId="0" applyFill="1" applyBorder="1" applyAlignment="1">
      <alignment wrapText="1"/>
    </xf>
    <xf numFmtId="0" fontId="0" fillId="15" borderId="3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14" fontId="0" fillId="0" borderId="7" xfId="0" applyNumberForma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3" xfId="0" applyBorder="1"/>
    <xf numFmtId="0" fontId="0" fillId="0" borderId="6" xfId="0" applyBorder="1"/>
    <xf numFmtId="0" fontId="0" fillId="10" borderId="3" xfId="0" applyFill="1" applyBorder="1"/>
    <xf numFmtId="0" fontId="1" fillId="0" borderId="3" xfId="0" applyFont="1" applyBorder="1" applyAlignment="1">
      <alignment wrapText="1"/>
    </xf>
    <xf numFmtId="0" fontId="0" fillId="14" borderId="7" xfId="0" applyFill="1" applyBorder="1" applyAlignment="1">
      <alignment wrapText="1"/>
    </xf>
    <xf numFmtId="0" fontId="0" fillId="10" borderId="6" xfId="0" applyFill="1" applyBorder="1"/>
    <xf numFmtId="0" fontId="0" fillId="10" borderId="7" xfId="0" applyFill="1" applyBorder="1"/>
    <xf numFmtId="0" fontId="0" fillId="0" borderId="18" xfId="0" applyBorder="1" applyAlignment="1">
      <alignment wrapText="1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4" borderId="17" xfId="0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0" fillId="0" borderId="18" xfId="0" applyFill="1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7" xfId="0" applyFill="1" applyBorder="1" applyAlignment="1">
      <alignment wrapText="1"/>
    </xf>
    <xf numFmtId="0" fontId="1" fillId="0" borderId="7" xfId="0" applyFont="1" applyBorder="1" applyAlignment="1">
      <alignment wrapText="1"/>
    </xf>
    <xf numFmtId="0" fontId="0" fillId="9" borderId="7" xfId="0" applyFill="1" applyBorder="1" applyAlignment="1">
      <alignment wrapText="1"/>
    </xf>
    <xf numFmtId="0" fontId="0" fillId="4" borderId="22" xfId="0" applyFill="1" applyBorder="1" applyAlignment="1">
      <alignment wrapText="1"/>
    </xf>
    <xf numFmtId="0" fontId="0" fillId="0" borderId="21" xfId="0" applyBorder="1" applyAlignment="1">
      <alignment wrapText="1"/>
    </xf>
    <xf numFmtId="0" fontId="0" fillId="0" borderId="21" xfId="0" applyBorder="1"/>
    <xf numFmtId="0" fontId="0" fillId="0" borderId="23" xfId="0" applyBorder="1"/>
    <xf numFmtId="0" fontId="0" fillId="7" borderId="7" xfId="0" applyFill="1" applyBorder="1"/>
    <xf numFmtId="0" fontId="0" fillId="16" borderId="7" xfId="0" applyFill="1" applyBorder="1" applyAlignment="1">
      <alignment wrapText="1"/>
    </xf>
    <xf numFmtId="0" fontId="0" fillId="12" borderId="7" xfId="0" applyFill="1" applyBorder="1" applyAlignment="1">
      <alignment wrapText="1"/>
    </xf>
    <xf numFmtId="0" fontId="0" fillId="12" borderId="9" xfId="0" applyFill="1" applyBorder="1" applyAlignment="1">
      <alignment wrapText="1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20" xfId="0" applyFill="1" applyBorder="1" applyAlignment="1">
      <alignment horizontal="center"/>
    </xf>
    <xf numFmtId="0" fontId="0" fillId="15" borderId="1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C3300"/>
      <color rgb="FF6464C8"/>
      <color rgb="FF008080"/>
      <color rgb="FFFF6699"/>
      <color rgb="FF6600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topLeftCell="B1" workbookViewId="0">
      <selection activeCell="B17" sqref="B17"/>
    </sheetView>
  </sheetViews>
  <sheetFormatPr defaultRowHeight="14.4" x14ac:dyDescent="0.3"/>
  <cols>
    <col min="1" max="1" width="45.109375" customWidth="1"/>
    <col min="2" max="2" width="44.88671875" customWidth="1"/>
    <col min="3" max="3" width="26" customWidth="1"/>
    <col min="4" max="4" width="40.44140625" customWidth="1"/>
    <col min="7" max="7" width="36.77734375" customWidth="1"/>
    <col min="10" max="10" width="26.109375" customWidth="1"/>
  </cols>
  <sheetData>
    <row r="1" spans="1:12" ht="14.4" customHeight="1" thickBot="1" x14ac:dyDescent="0.35"/>
    <row r="2" spans="1:12" x14ac:dyDescent="0.3">
      <c r="A2" s="83" t="s">
        <v>0</v>
      </c>
      <c r="B2" s="84"/>
      <c r="C2" s="1"/>
      <c r="D2" s="85" t="s">
        <v>15</v>
      </c>
      <c r="E2" s="86"/>
      <c r="F2" s="1"/>
      <c r="G2" s="85" t="s">
        <v>26</v>
      </c>
      <c r="H2" s="86"/>
      <c r="I2" s="1"/>
      <c r="J2" s="85" t="s">
        <v>27</v>
      </c>
      <c r="K2" s="86"/>
      <c r="L2" s="1"/>
    </row>
    <row r="3" spans="1:12" x14ac:dyDescent="0.3">
      <c r="A3" s="3" t="s">
        <v>1</v>
      </c>
      <c r="B3" s="4" t="s">
        <v>9</v>
      </c>
      <c r="C3" s="1"/>
      <c r="D3" s="12" t="s">
        <v>16</v>
      </c>
      <c r="E3" s="4">
        <v>19</v>
      </c>
      <c r="F3" s="1"/>
      <c r="G3" s="12" t="s">
        <v>16</v>
      </c>
      <c r="H3" s="4">
        <v>4</v>
      </c>
      <c r="I3" s="1"/>
      <c r="J3" s="12" t="s">
        <v>16</v>
      </c>
      <c r="K3" s="4">
        <v>11</v>
      </c>
      <c r="L3" s="1"/>
    </row>
    <row r="4" spans="1:12" x14ac:dyDescent="0.3">
      <c r="A4" s="3" t="s">
        <v>2</v>
      </c>
      <c r="B4" s="4" t="s">
        <v>8</v>
      </c>
      <c r="C4" s="1"/>
      <c r="D4" s="13" t="str">
        <f>$A$10</f>
        <v>В процессе</v>
      </c>
      <c r="E4" s="4">
        <v>0</v>
      </c>
      <c r="F4" s="1"/>
      <c r="G4" s="13" t="str">
        <f>$A$10</f>
        <v>В процессе</v>
      </c>
      <c r="H4" s="4">
        <v>0</v>
      </c>
      <c r="I4" s="1"/>
      <c r="J4" s="13" t="str">
        <f>$A$10</f>
        <v>В процессе</v>
      </c>
      <c r="K4" s="4">
        <v>0</v>
      </c>
      <c r="L4" s="1"/>
    </row>
    <row r="5" spans="1:12" x14ac:dyDescent="0.3">
      <c r="A5" s="3" t="s">
        <v>3</v>
      </c>
      <c r="B5" s="4" t="s">
        <v>7</v>
      </c>
      <c r="C5" s="1"/>
      <c r="D5" s="14" t="str">
        <f>$A$11</f>
        <v>Пройден</v>
      </c>
      <c r="E5" s="4">
        <v>17</v>
      </c>
      <c r="F5" s="1"/>
      <c r="G5" s="14" t="str">
        <f>$A$11</f>
        <v>Пройден</v>
      </c>
      <c r="H5" s="4">
        <v>4</v>
      </c>
      <c r="I5" s="1"/>
      <c r="J5" s="14" t="str">
        <f>$A$11</f>
        <v>Пройден</v>
      </c>
      <c r="K5" s="4">
        <v>9</v>
      </c>
      <c r="L5" s="1"/>
    </row>
    <row r="6" spans="1:12" x14ac:dyDescent="0.3">
      <c r="A6" s="3" t="s">
        <v>4</v>
      </c>
      <c r="B6" s="5">
        <v>46066</v>
      </c>
      <c r="C6" s="1"/>
      <c r="D6" s="15" t="str">
        <f>$A$12</f>
        <v>Не пройден</v>
      </c>
      <c r="E6" s="4">
        <v>2</v>
      </c>
      <c r="F6" s="1"/>
      <c r="G6" s="15" t="str">
        <f>$A$12</f>
        <v>Не пройден</v>
      </c>
      <c r="H6" s="4">
        <v>0</v>
      </c>
      <c r="I6" s="1"/>
      <c r="J6" s="15" t="str">
        <f>$A$12</f>
        <v>Не пройден</v>
      </c>
      <c r="K6" s="4">
        <v>2</v>
      </c>
      <c r="L6" s="1"/>
    </row>
    <row r="7" spans="1:12" ht="29.4" thickBot="1" x14ac:dyDescent="0.35">
      <c r="A7" s="6" t="s">
        <v>5</v>
      </c>
      <c r="B7" s="7" t="s">
        <v>6</v>
      </c>
      <c r="C7" s="1"/>
      <c r="D7" s="16" t="str">
        <f>$B$10</f>
        <v>Trivial</v>
      </c>
      <c r="E7" s="4">
        <v>0</v>
      </c>
      <c r="F7" s="1"/>
      <c r="G7" s="16" t="str">
        <f>$B$10</f>
        <v>Trivial</v>
      </c>
      <c r="H7" s="4">
        <v>0</v>
      </c>
      <c r="I7" s="1"/>
      <c r="J7" s="16" t="str">
        <f>$B$10</f>
        <v>Trivial</v>
      </c>
      <c r="K7" s="4">
        <v>1</v>
      </c>
      <c r="L7" s="1"/>
    </row>
    <row r="8" spans="1:12" ht="15" thickBot="1" x14ac:dyDescent="0.35">
      <c r="A8" s="1"/>
      <c r="B8" s="1"/>
      <c r="C8" s="1"/>
      <c r="D8" s="17" t="str">
        <f>$B$11</f>
        <v>Minor</v>
      </c>
      <c r="E8" s="4">
        <v>0</v>
      </c>
      <c r="F8" s="1"/>
      <c r="G8" s="17" t="str">
        <f>$B$11</f>
        <v>Minor</v>
      </c>
      <c r="H8" s="4">
        <v>0</v>
      </c>
      <c r="I8" s="1"/>
      <c r="J8" s="17" t="str">
        <f>$B$11</f>
        <v>Minor</v>
      </c>
      <c r="K8" s="4">
        <v>1</v>
      </c>
      <c r="L8" s="1"/>
    </row>
    <row r="9" spans="1:12" x14ac:dyDescent="0.3">
      <c r="A9" s="8" t="s">
        <v>307</v>
      </c>
      <c r="B9" s="8" t="s">
        <v>18</v>
      </c>
      <c r="C9" s="1"/>
      <c r="D9" s="18" t="str">
        <f>$B$12</f>
        <v>Major</v>
      </c>
      <c r="E9" s="4">
        <v>2</v>
      </c>
      <c r="F9" s="1"/>
      <c r="G9" s="18" t="str">
        <f>$B$12</f>
        <v>Major</v>
      </c>
      <c r="H9" s="4">
        <v>0</v>
      </c>
      <c r="I9" s="1"/>
      <c r="J9" s="18" t="str">
        <f>$B$12</f>
        <v>Major</v>
      </c>
      <c r="K9" s="4">
        <v>0</v>
      </c>
      <c r="L9" s="1"/>
    </row>
    <row r="10" spans="1:12" x14ac:dyDescent="0.3">
      <c r="A10" s="9" t="s">
        <v>13</v>
      </c>
      <c r="B10" s="21" t="s">
        <v>23</v>
      </c>
      <c r="C10" s="1"/>
      <c r="D10" s="19" t="str">
        <f>$B$13</f>
        <v>Critical</v>
      </c>
      <c r="E10" s="4">
        <v>0</v>
      </c>
      <c r="F10" s="1"/>
      <c r="G10" s="19" t="str">
        <f>$B$13</f>
        <v>Critical</v>
      </c>
      <c r="H10" s="4">
        <v>0</v>
      </c>
      <c r="I10" s="1"/>
      <c r="J10" s="19" t="str">
        <f>$B$13</f>
        <v>Critical</v>
      </c>
      <c r="K10" s="4">
        <v>0</v>
      </c>
      <c r="L10" s="1"/>
    </row>
    <row r="11" spans="1:12" x14ac:dyDescent="0.3">
      <c r="A11" s="9" t="s">
        <v>11</v>
      </c>
      <c r="B11" s="9" t="s">
        <v>19</v>
      </c>
      <c r="C11" s="1"/>
      <c r="D11" s="20" t="str">
        <f>$B$14</f>
        <v>Blocker</v>
      </c>
      <c r="E11" s="4">
        <v>0</v>
      </c>
      <c r="F11" s="1"/>
      <c r="G11" s="20" t="str">
        <f>$B$14</f>
        <v>Blocker</v>
      </c>
      <c r="H11" s="4">
        <v>0</v>
      </c>
      <c r="I11" s="1"/>
      <c r="J11" s="20" t="str">
        <f>$B$14</f>
        <v>Blocker</v>
      </c>
      <c r="K11" s="4">
        <v>0</v>
      </c>
      <c r="L11" s="1"/>
    </row>
    <row r="12" spans="1:12" x14ac:dyDescent="0.3">
      <c r="A12" s="9" t="s">
        <v>12</v>
      </c>
      <c r="B12" s="9" t="s">
        <v>20</v>
      </c>
      <c r="C12" s="1"/>
      <c r="D12" s="12" t="str">
        <f>$A$13</f>
        <v>Заблокирован</v>
      </c>
      <c r="E12" s="4">
        <v>0</v>
      </c>
      <c r="F12" s="1"/>
      <c r="G12" s="12" t="str">
        <f>$A$13</f>
        <v>Заблокирован</v>
      </c>
      <c r="H12" s="4">
        <v>0</v>
      </c>
      <c r="I12" s="1"/>
      <c r="J12" s="12" t="str">
        <f>$A$13</f>
        <v>Заблокирован</v>
      </c>
      <c r="K12" s="4">
        <v>0</v>
      </c>
      <c r="L12" s="1"/>
    </row>
    <row r="13" spans="1:12" x14ac:dyDescent="0.3">
      <c r="A13" s="9" t="s">
        <v>14</v>
      </c>
      <c r="B13" s="9" t="s">
        <v>21</v>
      </c>
      <c r="C13" s="1"/>
      <c r="D13" s="12" t="str">
        <f>$A$14</f>
        <v>Не тестировался</v>
      </c>
      <c r="E13" s="4">
        <v>0</v>
      </c>
      <c r="F13" s="1"/>
      <c r="G13" s="12" t="str">
        <f>$A$14</f>
        <v>Не тестировался</v>
      </c>
      <c r="H13" s="4">
        <v>0</v>
      </c>
      <c r="I13" s="1"/>
      <c r="J13" s="12" t="str">
        <f>$A$14</f>
        <v>Не тестировался</v>
      </c>
      <c r="K13" s="4">
        <v>0</v>
      </c>
      <c r="L13" s="1"/>
    </row>
    <row r="14" spans="1:12" ht="15" thickBot="1" x14ac:dyDescent="0.35">
      <c r="A14" s="11" t="s">
        <v>10</v>
      </c>
      <c r="B14" s="10" t="s">
        <v>22</v>
      </c>
      <c r="C14" s="1"/>
      <c r="D14" s="12" t="str">
        <f>$A$15</f>
        <v>Не реализован</v>
      </c>
      <c r="E14" s="4">
        <v>0</v>
      </c>
      <c r="F14" s="1"/>
      <c r="G14" s="12" t="str">
        <f>$A$15</f>
        <v>Не реализован</v>
      </c>
      <c r="H14" s="4">
        <v>0</v>
      </c>
      <c r="I14" s="1"/>
      <c r="J14" s="12" t="str">
        <f>$A$15</f>
        <v>Не реализован</v>
      </c>
      <c r="K14" s="4">
        <v>0</v>
      </c>
      <c r="L14" s="1"/>
    </row>
    <row r="15" spans="1:12" ht="15" thickBot="1" x14ac:dyDescent="0.35">
      <c r="A15" s="10" t="s">
        <v>24</v>
      </c>
      <c r="B15" s="22"/>
      <c r="C15" s="1"/>
      <c r="D15" s="12" t="s">
        <v>25</v>
      </c>
      <c r="E15" s="4">
        <v>0</v>
      </c>
      <c r="F15" s="1"/>
      <c r="G15" s="12" t="s">
        <v>25</v>
      </c>
      <c r="H15" s="4">
        <v>0</v>
      </c>
      <c r="I15" s="1"/>
      <c r="J15" s="12" t="s">
        <v>25</v>
      </c>
      <c r="K15" s="4">
        <v>0</v>
      </c>
      <c r="L15" s="1"/>
    </row>
    <row r="16" spans="1:12" ht="15" thickBot="1" x14ac:dyDescent="0.35">
      <c r="A16" s="1"/>
      <c r="B16" s="1"/>
      <c r="C16" s="1"/>
      <c r="D16" s="6" t="s">
        <v>17</v>
      </c>
      <c r="E16" s="7">
        <v>100</v>
      </c>
      <c r="F16" s="1"/>
      <c r="G16" s="6" t="s">
        <v>17</v>
      </c>
      <c r="H16" s="7">
        <v>100</v>
      </c>
      <c r="I16" s="1"/>
      <c r="J16" s="6" t="s">
        <v>17</v>
      </c>
      <c r="K16" s="7">
        <v>100</v>
      </c>
      <c r="L16" s="1"/>
    </row>
    <row r="17" spans="1:12" ht="15" thickBot="1" x14ac:dyDescent="0.35">
      <c r="A17" s="1"/>
      <c r="B17" s="1"/>
      <c r="C17" s="1"/>
      <c r="E17" s="1"/>
      <c r="F17" s="1"/>
      <c r="G17" s="1"/>
      <c r="H17" s="1"/>
      <c r="I17" s="1"/>
      <c r="J17" s="1"/>
      <c r="K17" s="1"/>
      <c r="L17" s="1"/>
    </row>
    <row r="18" spans="1:12" x14ac:dyDescent="0.3">
      <c r="A18" s="8" t="s">
        <v>28</v>
      </c>
      <c r="C18" s="1"/>
      <c r="E18" s="1"/>
      <c r="F18" s="1"/>
      <c r="G18" s="1"/>
      <c r="H18" s="1"/>
      <c r="I18" s="1"/>
      <c r="J18" s="1"/>
      <c r="K18" s="1"/>
      <c r="L18" s="1"/>
    </row>
    <row r="19" spans="1:12" x14ac:dyDescent="0.3">
      <c r="A19" s="21" t="s">
        <v>29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">
      <c r="A20" s="9" t="s">
        <v>30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" thickBot="1" x14ac:dyDescent="0.35">
      <c r="A21" s="10" t="s">
        <v>31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">
      <c r="A22" s="22"/>
    </row>
    <row r="23" spans="1:12" ht="15" thickBot="1" x14ac:dyDescent="0.35">
      <c r="A23" s="22"/>
    </row>
    <row r="24" spans="1:12" ht="15" thickBot="1" x14ac:dyDescent="0.35">
      <c r="A24" s="22"/>
      <c r="I24" s="24"/>
    </row>
    <row r="25" spans="1:12" ht="15" thickBot="1" x14ac:dyDescent="0.35"/>
    <row r="26" spans="1:12" x14ac:dyDescent="0.3">
      <c r="A26" s="25" t="s">
        <v>89</v>
      </c>
      <c r="B26" s="26" t="s">
        <v>32</v>
      </c>
      <c r="C26" s="26" t="s">
        <v>33</v>
      </c>
      <c r="D26" s="27" t="s">
        <v>34</v>
      </c>
    </row>
    <row r="27" spans="1:12" x14ac:dyDescent="0.3">
      <c r="A27" s="77" t="s">
        <v>35</v>
      </c>
      <c r="B27" s="78"/>
      <c r="C27" s="78"/>
      <c r="D27" s="79"/>
    </row>
    <row r="28" spans="1:12" x14ac:dyDescent="0.3">
      <c r="A28" s="80" t="s">
        <v>36</v>
      </c>
      <c r="B28" s="81"/>
      <c r="C28" s="81"/>
      <c r="D28" s="82"/>
    </row>
    <row r="29" spans="1:12" ht="57.6" x14ac:dyDescent="0.3">
      <c r="A29" s="12" t="s">
        <v>90</v>
      </c>
      <c r="B29" s="2" t="s">
        <v>37</v>
      </c>
      <c r="C29" s="2" t="s">
        <v>39</v>
      </c>
      <c r="D29" s="28" t="str">
        <f>$A$11</f>
        <v>Пройден</v>
      </c>
    </row>
    <row r="30" spans="1:12" ht="57.6" x14ac:dyDescent="0.3">
      <c r="A30" s="12" t="s">
        <v>91</v>
      </c>
      <c r="B30" s="2" t="s">
        <v>47</v>
      </c>
      <c r="C30" s="2" t="s">
        <v>39</v>
      </c>
      <c r="D30" s="28" t="str">
        <f t="shared" ref="D30:D45" si="0">$A$11</f>
        <v>Пройден</v>
      </c>
    </row>
    <row r="31" spans="1:12" ht="43.2" x14ac:dyDescent="0.3">
      <c r="A31" s="43" t="s">
        <v>92</v>
      </c>
      <c r="B31" s="2" t="s">
        <v>171</v>
      </c>
      <c r="C31" s="35" t="s">
        <v>51</v>
      </c>
      <c r="D31" s="28" t="str">
        <f t="shared" si="0"/>
        <v>Пройден</v>
      </c>
    </row>
    <row r="32" spans="1:12" ht="57.6" x14ac:dyDescent="0.3">
      <c r="A32" s="43" t="s">
        <v>93</v>
      </c>
      <c r="B32" s="35" t="s">
        <v>48</v>
      </c>
      <c r="C32" s="35" t="s">
        <v>40</v>
      </c>
      <c r="D32" s="46" t="str">
        <f t="shared" si="0"/>
        <v>Пройден</v>
      </c>
    </row>
    <row r="33" spans="1:4" ht="57.6" x14ac:dyDescent="0.3">
      <c r="A33" s="43" t="s">
        <v>94</v>
      </c>
      <c r="B33" s="35" t="s">
        <v>49</v>
      </c>
      <c r="C33" s="35" t="s">
        <v>41</v>
      </c>
      <c r="D33" s="46" t="str">
        <f t="shared" si="0"/>
        <v>Пройден</v>
      </c>
    </row>
    <row r="34" spans="1:4" ht="57.6" x14ac:dyDescent="0.3">
      <c r="A34" s="43" t="s">
        <v>95</v>
      </c>
      <c r="B34" s="35" t="s">
        <v>50</v>
      </c>
      <c r="C34" s="35" t="s">
        <v>42</v>
      </c>
      <c r="D34" s="46" t="str">
        <f t="shared" si="0"/>
        <v>Пройден</v>
      </c>
    </row>
    <row r="35" spans="1:4" ht="28.8" x14ac:dyDescent="0.3">
      <c r="A35" s="43" t="s">
        <v>96</v>
      </c>
      <c r="B35" s="35" t="s">
        <v>43</v>
      </c>
      <c r="C35" s="35" t="s">
        <v>45</v>
      </c>
      <c r="D35" s="46" t="str">
        <f t="shared" si="0"/>
        <v>Пройден</v>
      </c>
    </row>
    <row r="36" spans="1:4" ht="43.2" x14ac:dyDescent="0.3">
      <c r="A36" s="43" t="s">
        <v>97</v>
      </c>
      <c r="B36" s="35" t="s">
        <v>44</v>
      </c>
      <c r="C36" s="35" t="s">
        <v>46</v>
      </c>
      <c r="D36" s="68" t="str">
        <f>$A$12</f>
        <v>Не пройден</v>
      </c>
    </row>
    <row r="37" spans="1:4" x14ac:dyDescent="0.3">
      <c r="A37" s="56" t="s">
        <v>52</v>
      </c>
      <c r="B37" s="57"/>
      <c r="C37" s="57"/>
      <c r="D37" s="58"/>
    </row>
    <row r="38" spans="1:4" ht="43.2" x14ac:dyDescent="0.3">
      <c r="A38" s="43" t="s">
        <v>98</v>
      </c>
      <c r="B38" s="35" t="s">
        <v>214</v>
      </c>
      <c r="C38" s="35" t="s">
        <v>53</v>
      </c>
      <c r="D38" s="46" t="str">
        <f t="shared" si="0"/>
        <v>Пройден</v>
      </c>
    </row>
    <row r="39" spans="1:4" ht="43.2" x14ac:dyDescent="0.3">
      <c r="A39" s="43" t="s">
        <v>99</v>
      </c>
      <c r="B39" s="35" t="s">
        <v>215</v>
      </c>
      <c r="C39" s="35" t="s">
        <v>53</v>
      </c>
      <c r="D39" s="68" t="str">
        <f>$A$12</f>
        <v>Не пройден</v>
      </c>
    </row>
    <row r="40" spans="1:4" ht="43.2" x14ac:dyDescent="0.3">
      <c r="A40" s="43" t="s">
        <v>100</v>
      </c>
      <c r="B40" s="35" t="s">
        <v>216</v>
      </c>
      <c r="C40" s="35" t="s">
        <v>53</v>
      </c>
      <c r="D40" s="46" t="str">
        <f t="shared" si="0"/>
        <v>Пройден</v>
      </c>
    </row>
    <row r="41" spans="1:4" ht="43.2" x14ac:dyDescent="0.3">
      <c r="A41" s="43" t="s">
        <v>101</v>
      </c>
      <c r="B41" s="35" t="s">
        <v>59</v>
      </c>
      <c r="C41" s="35" t="s">
        <v>53</v>
      </c>
      <c r="D41" s="46" t="str">
        <f t="shared" si="0"/>
        <v>Пройден</v>
      </c>
    </row>
    <row r="42" spans="1:4" ht="43.2" x14ac:dyDescent="0.3">
      <c r="A42" s="43" t="s">
        <v>102</v>
      </c>
      <c r="B42" s="35" t="s">
        <v>60</v>
      </c>
      <c r="C42" s="35" t="s">
        <v>69</v>
      </c>
      <c r="D42" s="46" t="str">
        <f t="shared" si="0"/>
        <v>Пройден</v>
      </c>
    </row>
    <row r="43" spans="1:4" ht="57.6" x14ac:dyDescent="0.3">
      <c r="A43" s="43" t="s">
        <v>103</v>
      </c>
      <c r="B43" s="35" t="s">
        <v>54</v>
      </c>
      <c r="C43" s="35" t="s">
        <v>53</v>
      </c>
      <c r="D43" s="46" t="str">
        <f t="shared" si="0"/>
        <v>Пройден</v>
      </c>
    </row>
    <row r="44" spans="1:4" ht="43.2" x14ac:dyDescent="0.3">
      <c r="A44" s="43" t="s">
        <v>104</v>
      </c>
      <c r="B44" s="35" t="s">
        <v>55</v>
      </c>
      <c r="C44" s="35" t="s">
        <v>58</v>
      </c>
      <c r="D44" s="46" t="str">
        <f t="shared" si="0"/>
        <v>Пройден</v>
      </c>
    </row>
    <row r="45" spans="1:4" ht="43.2" x14ac:dyDescent="0.3">
      <c r="A45" s="43" t="s">
        <v>105</v>
      </c>
      <c r="B45" s="35" t="s">
        <v>56</v>
      </c>
      <c r="C45" s="35" t="s">
        <v>57</v>
      </c>
      <c r="D45" s="46" t="str">
        <f t="shared" si="0"/>
        <v>Пройден</v>
      </c>
    </row>
    <row r="46" spans="1:4" x14ac:dyDescent="0.3">
      <c r="A46" s="47" t="s">
        <v>89</v>
      </c>
      <c r="B46" s="44" t="s">
        <v>32</v>
      </c>
      <c r="C46" s="44" t="s">
        <v>33</v>
      </c>
      <c r="D46" s="48" t="s">
        <v>34</v>
      </c>
    </row>
    <row r="47" spans="1:4" x14ac:dyDescent="0.3">
      <c r="A47" s="50" t="s">
        <v>61</v>
      </c>
      <c r="B47" s="51"/>
      <c r="C47" s="51"/>
      <c r="D47" s="52"/>
    </row>
    <row r="48" spans="1:4" x14ac:dyDescent="0.3">
      <c r="A48" s="53" t="s">
        <v>36</v>
      </c>
      <c r="B48" s="54"/>
      <c r="C48" s="54"/>
      <c r="D48" s="55"/>
    </row>
    <row r="49" spans="1:4" ht="28.8" x14ac:dyDescent="0.3">
      <c r="A49" s="43" t="s">
        <v>106</v>
      </c>
      <c r="B49" s="42" t="s">
        <v>63</v>
      </c>
      <c r="C49" s="35" t="s">
        <v>62</v>
      </c>
      <c r="D49" s="46" t="str">
        <f t="shared" ref="D49:D53" si="1">$A$11</f>
        <v>Пройден</v>
      </c>
    </row>
    <row r="50" spans="1:4" ht="57.6" x14ac:dyDescent="0.3">
      <c r="A50" s="43" t="s">
        <v>107</v>
      </c>
      <c r="B50" s="42" t="s">
        <v>64</v>
      </c>
      <c r="C50" s="35" t="s">
        <v>65</v>
      </c>
      <c r="D50" s="46" t="str">
        <f t="shared" si="1"/>
        <v>Пройден</v>
      </c>
    </row>
    <row r="51" spans="1:4" ht="28.8" x14ac:dyDescent="0.3">
      <c r="A51" s="43" t="s">
        <v>108</v>
      </c>
      <c r="B51" s="42" t="s">
        <v>66</v>
      </c>
      <c r="C51" s="35" t="s">
        <v>67</v>
      </c>
      <c r="D51" s="46" t="str">
        <f t="shared" si="1"/>
        <v>Пройден</v>
      </c>
    </row>
    <row r="52" spans="1:4" x14ac:dyDescent="0.3">
      <c r="A52" s="56" t="s">
        <v>52</v>
      </c>
      <c r="B52" s="57"/>
      <c r="C52" s="57"/>
      <c r="D52" s="58"/>
    </row>
    <row r="53" spans="1:4" ht="57.6" x14ac:dyDescent="0.3">
      <c r="A53" s="43" t="s">
        <v>109</v>
      </c>
      <c r="B53" s="35" t="s">
        <v>68</v>
      </c>
      <c r="C53" s="35" t="s">
        <v>70</v>
      </c>
      <c r="D53" s="46" t="str">
        <f t="shared" si="1"/>
        <v>Пройден</v>
      </c>
    </row>
    <row r="54" spans="1:4" x14ac:dyDescent="0.3">
      <c r="A54" s="47" t="s">
        <v>89</v>
      </c>
      <c r="B54" s="44" t="s">
        <v>32</v>
      </c>
      <c r="C54" s="44" t="s">
        <v>33</v>
      </c>
      <c r="D54" s="48" t="s">
        <v>34</v>
      </c>
    </row>
    <row r="55" spans="1:4" x14ac:dyDescent="0.3">
      <c r="A55" s="50" t="s">
        <v>71</v>
      </c>
      <c r="B55" s="51"/>
      <c r="C55" s="51"/>
      <c r="D55" s="52"/>
    </row>
    <row r="56" spans="1:4" x14ac:dyDescent="0.3">
      <c r="A56" s="53" t="s">
        <v>36</v>
      </c>
      <c r="B56" s="54"/>
      <c r="C56" s="54"/>
      <c r="D56" s="55"/>
    </row>
    <row r="57" spans="1:4" ht="28.8" x14ac:dyDescent="0.3">
      <c r="A57" s="43" t="s">
        <v>110</v>
      </c>
      <c r="B57" s="35" t="s">
        <v>72</v>
      </c>
      <c r="C57" s="35" t="s">
        <v>73</v>
      </c>
      <c r="D57" s="46" t="str">
        <f t="shared" ref="D57:D67" si="2">$A$11</f>
        <v>Пройден</v>
      </c>
    </row>
    <row r="58" spans="1:4" ht="28.8" x14ac:dyDescent="0.3">
      <c r="A58" s="43" t="s">
        <v>111</v>
      </c>
      <c r="B58" s="45" t="s">
        <v>74</v>
      </c>
      <c r="C58" s="35" t="s">
        <v>85</v>
      </c>
      <c r="D58" s="46" t="str">
        <f t="shared" si="2"/>
        <v>Пройден</v>
      </c>
    </row>
    <row r="59" spans="1:4" x14ac:dyDescent="0.3">
      <c r="A59" s="43" t="s">
        <v>112</v>
      </c>
      <c r="B59" s="35" t="s">
        <v>75</v>
      </c>
      <c r="C59" s="35" t="s">
        <v>84</v>
      </c>
      <c r="D59" s="46" t="str">
        <f t="shared" si="2"/>
        <v>Пройден</v>
      </c>
    </row>
    <row r="60" spans="1:4" ht="43.2" x14ac:dyDescent="0.3">
      <c r="A60" s="43" t="s">
        <v>113</v>
      </c>
      <c r="B60" s="35" t="s">
        <v>76</v>
      </c>
      <c r="C60" s="35" t="s">
        <v>86</v>
      </c>
      <c r="D60" s="68" t="str">
        <f>$A$12</f>
        <v>Не пройден</v>
      </c>
    </row>
    <row r="61" spans="1:4" ht="43.2" x14ac:dyDescent="0.3">
      <c r="A61" s="43" t="s">
        <v>114</v>
      </c>
      <c r="B61" s="35" t="s">
        <v>83</v>
      </c>
      <c r="C61" s="35" t="s">
        <v>87</v>
      </c>
      <c r="D61" s="46" t="str">
        <f t="shared" si="2"/>
        <v>Пройден</v>
      </c>
    </row>
    <row r="62" spans="1:4" ht="72" x14ac:dyDescent="0.3">
      <c r="A62" s="43" t="s">
        <v>115</v>
      </c>
      <c r="B62" s="45" t="s">
        <v>77</v>
      </c>
      <c r="C62" s="35" t="s">
        <v>88</v>
      </c>
      <c r="D62" s="46" t="str">
        <f t="shared" si="2"/>
        <v>Пройден</v>
      </c>
    </row>
    <row r="63" spans="1:4" ht="72" x14ac:dyDescent="0.3">
      <c r="A63" s="43" t="s">
        <v>116</v>
      </c>
      <c r="B63" s="45" t="s">
        <v>78</v>
      </c>
      <c r="C63" s="35" t="s">
        <v>88</v>
      </c>
      <c r="D63" s="46" t="str">
        <f t="shared" si="2"/>
        <v>Пройден</v>
      </c>
    </row>
    <row r="64" spans="1:4" ht="72" x14ac:dyDescent="0.3">
      <c r="A64" s="43" t="s">
        <v>117</v>
      </c>
      <c r="B64" s="45" t="s">
        <v>79</v>
      </c>
      <c r="C64" s="35" t="s">
        <v>88</v>
      </c>
      <c r="D64" s="68" t="str">
        <f>$A$12</f>
        <v>Не пройден</v>
      </c>
    </row>
    <row r="65" spans="1:4" ht="72" x14ac:dyDescent="0.3">
      <c r="A65" s="43" t="s">
        <v>118</v>
      </c>
      <c r="B65" s="45" t="s">
        <v>80</v>
      </c>
      <c r="C65" s="35" t="s">
        <v>88</v>
      </c>
      <c r="D65" s="46" t="str">
        <f t="shared" si="2"/>
        <v>Пройден</v>
      </c>
    </row>
    <row r="66" spans="1:4" ht="72" x14ac:dyDescent="0.3">
      <c r="A66" s="43" t="s">
        <v>119</v>
      </c>
      <c r="B66" s="45" t="s">
        <v>81</v>
      </c>
      <c r="C66" s="35" t="s">
        <v>88</v>
      </c>
      <c r="D66" s="46" t="str">
        <f t="shared" si="2"/>
        <v>Пройден</v>
      </c>
    </row>
    <row r="67" spans="1:4" ht="72.599999999999994" thickBot="1" x14ac:dyDescent="0.35">
      <c r="A67" s="29" t="s">
        <v>120</v>
      </c>
      <c r="B67" s="30" t="s">
        <v>82</v>
      </c>
      <c r="C67" s="31" t="s">
        <v>88</v>
      </c>
      <c r="D67" s="32" t="str">
        <f t="shared" si="2"/>
        <v>Пройден</v>
      </c>
    </row>
  </sheetData>
  <mergeCells count="6">
    <mergeCell ref="A27:D27"/>
    <mergeCell ref="A28:D28"/>
    <mergeCell ref="A2:B2"/>
    <mergeCell ref="D2:E2"/>
    <mergeCell ref="J2:K2"/>
    <mergeCell ref="G2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5"/>
  <sheetViews>
    <sheetView topLeftCell="G33" zoomScale="85" zoomScaleNormal="85" workbookViewId="0">
      <selection activeCell="H51" sqref="H51"/>
    </sheetView>
  </sheetViews>
  <sheetFormatPr defaultRowHeight="14.4" x14ac:dyDescent="0.3"/>
  <cols>
    <col min="2" max="2" width="11.21875" bestFit="1" customWidth="1"/>
    <col min="3" max="3" width="26.109375" customWidth="1"/>
    <col min="4" max="4" width="13.6640625" customWidth="1"/>
    <col min="5" max="5" width="15.44140625" customWidth="1"/>
    <col min="6" max="6" width="99.44140625" customWidth="1"/>
    <col min="7" max="7" width="72.6640625" customWidth="1"/>
    <col min="8" max="8" width="43.109375" customWidth="1"/>
    <col min="9" max="9" width="47.109375" customWidth="1"/>
    <col min="10" max="10" width="18.33203125" customWidth="1"/>
    <col min="11" max="11" width="21.77734375" customWidth="1"/>
  </cols>
  <sheetData>
    <row r="2" spans="2:11" ht="355.8" customHeight="1" thickBot="1" x14ac:dyDescent="0.35">
      <c r="E2" t="s">
        <v>242</v>
      </c>
      <c r="F2" s="34" t="s">
        <v>285</v>
      </c>
      <c r="G2" s="34" t="s">
        <v>286</v>
      </c>
    </row>
    <row r="3" spans="2:11" ht="28.8" customHeight="1" x14ac:dyDescent="0.3">
      <c r="B3" s="83" t="s">
        <v>0</v>
      </c>
      <c r="C3" s="84"/>
    </row>
    <row r="4" spans="2:11" ht="86.4" x14ac:dyDescent="0.3">
      <c r="B4" s="36" t="s">
        <v>1</v>
      </c>
      <c r="C4" s="37" t="s">
        <v>161</v>
      </c>
      <c r="E4" s="1" t="s">
        <v>302</v>
      </c>
      <c r="F4" s="34" t="s">
        <v>303</v>
      </c>
    </row>
    <row r="5" spans="2:11" x14ac:dyDescent="0.3">
      <c r="B5" s="36" t="s">
        <v>2</v>
      </c>
      <c r="C5" s="37" t="s">
        <v>8</v>
      </c>
    </row>
    <row r="6" spans="2:11" x14ac:dyDescent="0.3">
      <c r="B6" s="36" t="s">
        <v>3</v>
      </c>
      <c r="C6" s="37" t="s">
        <v>7</v>
      </c>
    </row>
    <row r="7" spans="2:11" x14ac:dyDescent="0.3">
      <c r="B7" s="36" t="s">
        <v>4</v>
      </c>
      <c r="C7" s="38">
        <v>46066</v>
      </c>
    </row>
    <row r="8" spans="2:11" ht="58.2" thickBot="1" x14ac:dyDescent="0.35">
      <c r="B8" s="39" t="s">
        <v>5</v>
      </c>
      <c r="C8" s="40" t="s">
        <v>162</v>
      </c>
    </row>
    <row r="11" spans="2:11" ht="29.4" thickBot="1" x14ac:dyDescent="0.35">
      <c r="G11" s="34" t="s">
        <v>164</v>
      </c>
    </row>
    <row r="12" spans="2:11" ht="72" x14ac:dyDescent="0.3">
      <c r="B12" s="60" t="s">
        <v>121</v>
      </c>
      <c r="C12" s="61" t="s">
        <v>122</v>
      </c>
      <c r="D12" s="61" t="s">
        <v>123</v>
      </c>
      <c r="E12" s="61" t="s">
        <v>124</v>
      </c>
      <c r="F12" s="61" t="s">
        <v>125</v>
      </c>
      <c r="G12" s="61" t="s">
        <v>126</v>
      </c>
      <c r="H12" s="61" t="s">
        <v>127</v>
      </c>
      <c r="I12" s="61" t="s">
        <v>33</v>
      </c>
      <c r="J12" s="69" t="s">
        <v>174</v>
      </c>
      <c r="K12" s="62" t="s">
        <v>293</v>
      </c>
    </row>
    <row r="13" spans="2:11" x14ac:dyDescent="0.3">
      <c r="B13" s="87" t="s">
        <v>36</v>
      </c>
      <c r="C13" s="88"/>
      <c r="D13" s="88"/>
      <c r="E13" s="88"/>
      <c r="F13" s="88"/>
      <c r="G13" s="88"/>
      <c r="H13" s="88"/>
      <c r="I13" s="88"/>
      <c r="J13" s="89"/>
      <c r="K13" s="73"/>
    </row>
    <row r="14" spans="2:11" ht="187.2" x14ac:dyDescent="0.3">
      <c r="B14" s="36" t="s">
        <v>129</v>
      </c>
      <c r="C14" s="35" t="str">
        <f>'Чек лист'!A29</f>
        <v>CL-FUNC-POS-1</v>
      </c>
      <c r="D14" s="35" t="s">
        <v>37</v>
      </c>
      <c r="E14" s="35" t="s">
        <v>128</v>
      </c>
      <c r="F14" s="35" t="s">
        <v>163</v>
      </c>
      <c r="G14" s="35" t="s">
        <v>167</v>
      </c>
      <c r="H14" s="35" t="s">
        <v>166</v>
      </c>
      <c r="I14" s="35" t="s">
        <v>170</v>
      </c>
      <c r="J14" s="70" t="s">
        <v>176</v>
      </c>
      <c r="K14" s="74" t="s">
        <v>294</v>
      </c>
    </row>
    <row r="15" spans="2:11" ht="259.2" x14ac:dyDescent="0.3">
      <c r="B15" s="36" t="s">
        <v>130</v>
      </c>
      <c r="C15" s="35" t="str">
        <f>'Чек лист'!A30</f>
        <v>CL-FUNC-POS-2</v>
      </c>
      <c r="D15" s="35" t="s">
        <v>47</v>
      </c>
      <c r="E15" s="35" t="s">
        <v>128</v>
      </c>
      <c r="F15" s="35" t="s">
        <v>163</v>
      </c>
      <c r="G15" s="35" t="s">
        <v>165</v>
      </c>
      <c r="H15" s="35" t="s">
        <v>169</v>
      </c>
      <c r="I15" s="35" t="s">
        <v>172</v>
      </c>
      <c r="J15" s="70" t="s">
        <v>176</v>
      </c>
      <c r="K15" s="74" t="s">
        <v>294</v>
      </c>
    </row>
    <row r="16" spans="2:11" ht="259.2" x14ac:dyDescent="0.3">
      <c r="B16" s="36" t="s">
        <v>131</v>
      </c>
      <c r="C16" s="35" t="str">
        <f>'Чек лист'!A31</f>
        <v>CL-FUNC-POS-3</v>
      </c>
      <c r="D16" s="35" t="s">
        <v>38</v>
      </c>
      <c r="E16" s="35" t="s">
        <v>128</v>
      </c>
      <c r="F16" s="35" t="s">
        <v>173</v>
      </c>
      <c r="G16" s="35" t="s">
        <v>165</v>
      </c>
      <c r="H16" s="35"/>
      <c r="I16" s="35" t="s">
        <v>175</v>
      </c>
      <c r="J16" s="70" t="s">
        <v>176</v>
      </c>
      <c r="K16" s="75" t="s">
        <v>295</v>
      </c>
    </row>
    <row r="17" spans="2:11" ht="259.2" x14ac:dyDescent="0.3">
      <c r="B17" s="36" t="s">
        <v>132</v>
      </c>
      <c r="C17" s="35" t="str">
        <f>'Чек лист'!A32</f>
        <v>CL-FUNC-POS-4</v>
      </c>
      <c r="D17" s="35" t="s">
        <v>48</v>
      </c>
      <c r="E17" s="35" t="s">
        <v>128</v>
      </c>
      <c r="F17" s="35" t="s">
        <v>177</v>
      </c>
      <c r="G17" s="35" t="s">
        <v>165</v>
      </c>
      <c r="H17" s="35" t="s">
        <v>185</v>
      </c>
      <c r="I17" s="35" t="s">
        <v>178</v>
      </c>
      <c r="J17" s="71"/>
      <c r="K17" s="75" t="s">
        <v>296</v>
      </c>
    </row>
    <row r="18" spans="2:11" ht="259.2" x14ac:dyDescent="0.3">
      <c r="B18" s="36" t="s">
        <v>133</v>
      </c>
      <c r="C18" s="35" t="str">
        <f>'Чек лист'!A33</f>
        <v>CL-FUNC-POS-5</v>
      </c>
      <c r="D18" s="35" t="s">
        <v>49</v>
      </c>
      <c r="E18" s="35" t="s">
        <v>128</v>
      </c>
      <c r="F18" s="35" t="s">
        <v>177</v>
      </c>
      <c r="G18" s="35" t="s">
        <v>165</v>
      </c>
      <c r="H18" s="35" t="s">
        <v>184</v>
      </c>
      <c r="I18" s="35" t="s">
        <v>179</v>
      </c>
      <c r="J18" s="71"/>
      <c r="K18" s="74" t="s">
        <v>297</v>
      </c>
    </row>
    <row r="19" spans="2:11" ht="259.2" x14ac:dyDescent="0.3">
      <c r="B19" s="36" t="s">
        <v>134</v>
      </c>
      <c r="C19" s="35" t="str">
        <f>'Чек лист'!A34</f>
        <v>CL-FUNC-POS-6</v>
      </c>
      <c r="D19" s="35" t="s">
        <v>50</v>
      </c>
      <c r="E19" s="35" t="s">
        <v>128</v>
      </c>
      <c r="F19" s="35" t="s">
        <v>177</v>
      </c>
      <c r="G19" s="35" t="s">
        <v>165</v>
      </c>
      <c r="H19" s="35" t="s">
        <v>186</v>
      </c>
      <c r="I19" s="35" t="s">
        <v>180</v>
      </c>
      <c r="J19" s="71"/>
      <c r="K19" s="74" t="s">
        <v>297</v>
      </c>
    </row>
    <row r="20" spans="2:11" ht="259.2" x14ac:dyDescent="0.3">
      <c r="B20" s="36" t="s">
        <v>135</v>
      </c>
      <c r="C20" s="35" t="str">
        <f>'Чек лист'!A35</f>
        <v>CL-FUNC-POS-7</v>
      </c>
      <c r="D20" s="35" t="s">
        <v>43</v>
      </c>
      <c r="E20" s="35" t="s">
        <v>128</v>
      </c>
      <c r="F20" s="35" t="s">
        <v>181</v>
      </c>
      <c r="G20" s="35" t="s">
        <v>165</v>
      </c>
      <c r="H20" s="35" t="s">
        <v>182</v>
      </c>
      <c r="I20" s="35" t="s">
        <v>183</v>
      </c>
      <c r="J20" s="71"/>
      <c r="K20" s="74" t="s">
        <v>298</v>
      </c>
    </row>
    <row r="21" spans="2:11" ht="259.2" x14ac:dyDescent="0.3">
      <c r="B21" s="36" t="s">
        <v>136</v>
      </c>
      <c r="C21" s="35" t="str">
        <f>'Чек лист'!A36</f>
        <v>CL-FUNC-POS-8</v>
      </c>
      <c r="D21" s="35" t="s">
        <v>44</v>
      </c>
      <c r="E21" s="35" t="s">
        <v>128</v>
      </c>
      <c r="F21" s="35" t="s">
        <v>177</v>
      </c>
      <c r="G21" s="35" t="s">
        <v>165</v>
      </c>
      <c r="H21" s="35" t="s">
        <v>187</v>
      </c>
      <c r="I21" s="35" t="s">
        <v>188</v>
      </c>
      <c r="J21" s="71"/>
      <c r="K21" s="75" t="s">
        <v>299</v>
      </c>
    </row>
    <row r="22" spans="2:11" ht="100.2" customHeight="1" x14ac:dyDescent="0.3">
      <c r="B22" s="36" t="s">
        <v>137</v>
      </c>
      <c r="C22" s="35" t="str">
        <f>'Чек лист'!A49</f>
        <v>CL-SMOKE-POS-1</v>
      </c>
      <c r="D22" s="35" t="s">
        <v>63</v>
      </c>
      <c r="E22" s="35" t="s">
        <v>128</v>
      </c>
      <c r="F22" s="35" t="s">
        <v>189</v>
      </c>
      <c r="G22" s="35"/>
      <c r="H22" s="35" t="s">
        <v>190</v>
      </c>
      <c r="I22" s="35" t="s">
        <v>191</v>
      </c>
      <c r="J22" s="71"/>
      <c r="K22" s="75" t="s">
        <v>300</v>
      </c>
    </row>
    <row r="23" spans="2:11" ht="259.2" x14ac:dyDescent="0.3">
      <c r="B23" s="36" t="s">
        <v>138</v>
      </c>
      <c r="C23" s="35" t="str">
        <f>'Чек лист'!A50</f>
        <v>CL-SMOKE-POS-2</v>
      </c>
      <c r="D23" s="35" t="s">
        <v>64</v>
      </c>
      <c r="E23" s="35" t="s">
        <v>128</v>
      </c>
      <c r="F23" s="35" t="s">
        <v>192</v>
      </c>
      <c r="G23" s="35" t="s">
        <v>165</v>
      </c>
      <c r="H23" s="35" t="s">
        <v>193</v>
      </c>
      <c r="I23" s="35" t="s">
        <v>194</v>
      </c>
      <c r="J23" s="71"/>
      <c r="K23" s="75" t="s">
        <v>300</v>
      </c>
    </row>
    <row r="24" spans="2:11" ht="259.2" x14ac:dyDescent="0.3">
      <c r="B24" s="36" t="s">
        <v>139</v>
      </c>
      <c r="C24" s="35" t="str">
        <f>'Чек лист'!A51</f>
        <v>CL-SMOKE-POS-3</v>
      </c>
      <c r="D24" s="35" t="s">
        <v>66</v>
      </c>
      <c r="E24" s="35" t="s">
        <v>128</v>
      </c>
      <c r="F24" s="35" t="s">
        <v>177</v>
      </c>
      <c r="G24" s="35" t="s">
        <v>165</v>
      </c>
      <c r="H24" s="35" t="s">
        <v>195</v>
      </c>
      <c r="I24" s="35" t="s">
        <v>196</v>
      </c>
      <c r="J24" s="71"/>
      <c r="K24" s="75" t="s">
        <v>300</v>
      </c>
    </row>
    <row r="25" spans="2:11" ht="57.6" x14ac:dyDescent="0.3">
      <c r="B25" s="36" t="s">
        <v>140</v>
      </c>
      <c r="C25" s="35" t="str">
        <f>'Чек лист'!A57</f>
        <v>CL-UI-POS-1</v>
      </c>
      <c r="D25" s="35" t="s">
        <v>72</v>
      </c>
      <c r="E25" s="35" t="s">
        <v>128</v>
      </c>
      <c r="F25" s="35" t="s">
        <v>163</v>
      </c>
      <c r="G25" s="35"/>
      <c r="H25" s="35" t="s">
        <v>197</v>
      </c>
      <c r="I25" s="35" t="s">
        <v>198</v>
      </c>
      <c r="J25" s="71"/>
      <c r="K25" s="74" t="s">
        <v>304</v>
      </c>
    </row>
    <row r="26" spans="2:11" ht="100.8" x14ac:dyDescent="0.3">
      <c r="B26" s="36" t="s">
        <v>141</v>
      </c>
      <c r="C26" s="35" t="str">
        <f>'Чек лист'!A58</f>
        <v>CL-UI-POS-2</v>
      </c>
      <c r="D26" s="45" t="s">
        <v>74</v>
      </c>
      <c r="E26" s="35" t="s">
        <v>128</v>
      </c>
      <c r="F26" s="35" t="s">
        <v>163</v>
      </c>
      <c r="G26" s="35"/>
      <c r="H26" s="35" t="s">
        <v>199</v>
      </c>
      <c r="I26" s="35" t="s">
        <v>200</v>
      </c>
      <c r="J26" s="71"/>
      <c r="K26" s="74" t="s">
        <v>305</v>
      </c>
    </row>
    <row r="27" spans="2:11" ht="43.2" x14ac:dyDescent="0.3">
      <c r="B27" s="36" t="s">
        <v>142</v>
      </c>
      <c r="C27" s="35" t="str">
        <f>'Чек лист'!A59</f>
        <v>CL-UI-POS-3</v>
      </c>
      <c r="D27" s="35" t="s">
        <v>75</v>
      </c>
      <c r="E27" s="35" t="s">
        <v>128</v>
      </c>
      <c r="F27" s="35" t="s">
        <v>163</v>
      </c>
      <c r="G27" s="35"/>
      <c r="H27" s="35" t="s">
        <v>201</v>
      </c>
      <c r="I27" s="35" t="s">
        <v>202</v>
      </c>
      <c r="J27" s="71"/>
      <c r="K27" s="74" t="s">
        <v>304</v>
      </c>
    </row>
    <row r="28" spans="2:11" ht="158.4" x14ac:dyDescent="0.3">
      <c r="B28" s="36" t="s">
        <v>143</v>
      </c>
      <c r="C28" s="35" t="str">
        <f>'Чек лист'!A60</f>
        <v>CL-UI-POS-4</v>
      </c>
      <c r="D28" s="35" t="s">
        <v>76</v>
      </c>
      <c r="E28" s="35" t="s">
        <v>128</v>
      </c>
      <c r="F28" s="35" t="s">
        <v>163</v>
      </c>
      <c r="G28" s="35"/>
      <c r="H28" s="35" t="s">
        <v>203</v>
      </c>
      <c r="I28" s="35" t="s">
        <v>205</v>
      </c>
      <c r="J28" s="71"/>
      <c r="K28" s="74" t="s">
        <v>304</v>
      </c>
    </row>
    <row r="29" spans="2:11" ht="72" x14ac:dyDescent="0.3">
      <c r="B29" s="36" t="s">
        <v>144</v>
      </c>
      <c r="C29" s="35" t="str">
        <f>'Чек лист'!A61</f>
        <v>CL-UI-POS-5</v>
      </c>
      <c r="D29" s="35" t="s">
        <v>83</v>
      </c>
      <c r="E29" s="35" t="s">
        <v>128</v>
      </c>
      <c r="F29" s="35" t="s">
        <v>163</v>
      </c>
      <c r="G29" s="35"/>
      <c r="H29" s="35" t="s">
        <v>204</v>
      </c>
      <c r="I29" s="59" t="s">
        <v>206</v>
      </c>
      <c r="J29" s="71"/>
      <c r="K29" s="74" t="s">
        <v>304</v>
      </c>
    </row>
    <row r="30" spans="2:11" ht="86.4" x14ac:dyDescent="0.3">
      <c r="B30" s="36" t="s">
        <v>145</v>
      </c>
      <c r="C30" s="35" t="str">
        <f>'Чек лист'!A62</f>
        <v>CL-UI-POS-6</v>
      </c>
      <c r="D30" s="45" t="s">
        <v>77</v>
      </c>
      <c r="E30" s="35" t="s">
        <v>128</v>
      </c>
      <c r="F30" s="35" t="s">
        <v>207</v>
      </c>
      <c r="G30" s="35"/>
      <c r="H30" s="35" t="s">
        <v>208</v>
      </c>
      <c r="I30" s="35" t="s">
        <v>88</v>
      </c>
      <c r="J30" s="71"/>
      <c r="K30" s="74" t="s">
        <v>306</v>
      </c>
    </row>
    <row r="31" spans="2:11" ht="86.4" x14ac:dyDescent="0.3">
      <c r="B31" s="36" t="s">
        <v>146</v>
      </c>
      <c r="C31" s="35" t="str">
        <f>'Чек лист'!A63</f>
        <v>CL-UI-POS-7</v>
      </c>
      <c r="D31" s="45" t="s">
        <v>78</v>
      </c>
      <c r="E31" s="35" t="s">
        <v>128</v>
      </c>
      <c r="F31" s="35" t="s">
        <v>209</v>
      </c>
      <c r="G31" s="35"/>
      <c r="H31" s="35" t="s">
        <v>208</v>
      </c>
      <c r="I31" s="35" t="s">
        <v>88</v>
      </c>
      <c r="J31" s="71"/>
      <c r="K31" s="74" t="s">
        <v>306</v>
      </c>
    </row>
    <row r="32" spans="2:11" ht="86.4" x14ac:dyDescent="0.3">
      <c r="B32" s="36" t="s">
        <v>147</v>
      </c>
      <c r="C32" s="35" t="str">
        <f>'Чек лист'!A64</f>
        <v>CL-UI-POS-8</v>
      </c>
      <c r="D32" s="45" t="s">
        <v>79</v>
      </c>
      <c r="E32" s="35" t="s">
        <v>128</v>
      </c>
      <c r="F32" s="35" t="s">
        <v>210</v>
      </c>
      <c r="G32" s="35"/>
      <c r="H32" s="35" t="s">
        <v>208</v>
      </c>
      <c r="I32" s="35" t="s">
        <v>88</v>
      </c>
      <c r="J32" s="71"/>
      <c r="K32" s="74" t="s">
        <v>306</v>
      </c>
    </row>
    <row r="33" spans="2:11" ht="86.4" x14ac:dyDescent="0.3">
      <c r="B33" s="36" t="s">
        <v>148</v>
      </c>
      <c r="C33" s="35" t="str">
        <f>'Чек лист'!A65</f>
        <v>CL-UI-POS-9</v>
      </c>
      <c r="D33" s="45" t="s">
        <v>80</v>
      </c>
      <c r="E33" s="35" t="s">
        <v>128</v>
      </c>
      <c r="F33" s="35" t="s">
        <v>211</v>
      </c>
      <c r="G33" s="35"/>
      <c r="H33" s="35" t="s">
        <v>208</v>
      </c>
      <c r="I33" s="35" t="s">
        <v>88</v>
      </c>
      <c r="J33" s="71"/>
      <c r="K33" s="74" t="s">
        <v>306</v>
      </c>
    </row>
    <row r="34" spans="2:11" ht="86.4" x14ac:dyDescent="0.3">
      <c r="B34" s="36" t="s">
        <v>149</v>
      </c>
      <c r="C34" s="35" t="str">
        <f>'Чек лист'!A66</f>
        <v>CL-UI-POS-10</v>
      </c>
      <c r="D34" s="45" t="s">
        <v>81</v>
      </c>
      <c r="E34" s="35" t="s">
        <v>128</v>
      </c>
      <c r="F34" s="35" t="s">
        <v>212</v>
      </c>
      <c r="G34" s="35"/>
      <c r="H34" s="35" t="s">
        <v>208</v>
      </c>
      <c r="I34" s="35" t="s">
        <v>88</v>
      </c>
      <c r="J34" s="71"/>
      <c r="K34" s="74" t="s">
        <v>306</v>
      </c>
    </row>
    <row r="35" spans="2:11" ht="86.4" x14ac:dyDescent="0.3">
      <c r="B35" s="36" t="s">
        <v>150</v>
      </c>
      <c r="C35" s="35" t="str">
        <f>'Чек лист'!A67</f>
        <v>CL-UI-POS-11</v>
      </c>
      <c r="D35" s="45" t="s">
        <v>82</v>
      </c>
      <c r="E35" s="35" t="s">
        <v>128</v>
      </c>
      <c r="F35" s="35" t="s">
        <v>213</v>
      </c>
      <c r="G35" s="35"/>
      <c r="H35" s="35" t="s">
        <v>208</v>
      </c>
      <c r="I35" s="35" t="s">
        <v>88</v>
      </c>
      <c r="J35" s="71"/>
      <c r="K35" s="74" t="s">
        <v>306</v>
      </c>
    </row>
    <row r="36" spans="2:11" x14ac:dyDescent="0.3">
      <c r="B36" s="36"/>
      <c r="C36" s="33"/>
      <c r="D36" s="33"/>
      <c r="E36" s="90" t="s">
        <v>52</v>
      </c>
      <c r="F36" s="91"/>
      <c r="G36" s="91"/>
      <c r="H36" s="91"/>
      <c r="I36" s="91"/>
      <c r="J36" s="91"/>
      <c r="K36" s="92"/>
    </row>
    <row r="37" spans="2:11" ht="259.2" x14ac:dyDescent="0.3">
      <c r="B37" s="36" t="s">
        <v>151</v>
      </c>
      <c r="C37" s="35" t="str">
        <f>'Чек лист'!A38</f>
        <v>CL-FUNC-NEG-1</v>
      </c>
      <c r="D37" s="35" t="s">
        <v>214</v>
      </c>
      <c r="E37" s="35" t="s">
        <v>160</v>
      </c>
      <c r="F37" s="35" t="s">
        <v>218</v>
      </c>
      <c r="G37" s="35" t="s">
        <v>217</v>
      </c>
      <c r="H37" s="35" t="s">
        <v>193</v>
      </c>
      <c r="I37" s="59" t="s">
        <v>230</v>
      </c>
      <c r="J37" s="71"/>
      <c r="K37" s="75" t="s">
        <v>301</v>
      </c>
    </row>
    <row r="38" spans="2:11" ht="259.2" x14ac:dyDescent="0.3">
      <c r="B38" s="36" t="s">
        <v>152</v>
      </c>
      <c r="C38" s="35" t="str">
        <f>'Чек лист'!A39</f>
        <v>CL-FUNC-NEG-2</v>
      </c>
      <c r="D38" s="35" t="s">
        <v>215</v>
      </c>
      <c r="E38" s="35" t="s">
        <v>160</v>
      </c>
      <c r="F38" s="35" t="s">
        <v>218</v>
      </c>
      <c r="G38" s="35" t="s">
        <v>219</v>
      </c>
      <c r="H38" s="35" t="s">
        <v>193</v>
      </c>
      <c r="I38" s="59" t="s">
        <v>231</v>
      </c>
      <c r="J38" s="71"/>
      <c r="K38" s="75" t="s">
        <v>301</v>
      </c>
    </row>
    <row r="39" spans="2:11" ht="259.2" x14ac:dyDescent="0.3">
      <c r="B39" s="36" t="s">
        <v>153</v>
      </c>
      <c r="C39" s="35" t="str">
        <f>'Чек лист'!A40</f>
        <v>CL-FUNC-NEG-3</v>
      </c>
      <c r="D39" s="35" t="s">
        <v>216</v>
      </c>
      <c r="E39" s="35" t="s">
        <v>160</v>
      </c>
      <c r="F39" s="35" t="s">
        <v>218</v>
      </c>
      <c r="G39" s="35" t="s">
        <v>220</v>
      </c>
      <c r="H39" s="35" t="s">
        <v>193</v>
      </c>
      <c r="I39" s="59" t="s">
        <v>232</v>
      </c>
      <c r="J39" s="71"/>
      <c r="K39" s="75" t="s">
        <v>301</v>
      </c>
    </row>
    <row r="40" spans="2:11" ht="259.2" x14ac:dyDescent="0.3">
      <c r="B40" s="36" t="s">
        <v>154</v>
      </c>
      <c r="C40" s="35" t="str">
        <f>'Чек лист'!A41</f>
        <v>CL-FUNC-NEG-4</v>
      </c>
      <c r="D40" s="35" t="s">
        <v>59</v>
      </c>
      <c r="E40" s="35" t="s">
        <v>160</v>
      </c>
      <c r="F40" s="35" t="s">
        <v>218</v>
      </c>
      <c r="G40" s="35" t="s">
        <v>221</v>
      </c>
      <c r="H40" s="35" t="s">
        <v>222</v>
      </c>
      <c r="I40" s="59" t="s">
        <v>229</v>
      </c>
      <c r="J40" s="71"/>
      <c r="K40" s="75" t="s">
        <v>301</v>
      </c>
    </row>
    <row r="41" spans="2:11" ht="259.2" x14ac:dyDescent="0.3">
      <c r="B41" s="36" t="s">
        <v>155</v>
      </c>
      <c r="C41" s="35" t="str">
        <f>'Чек лист'!A42</f>
        <v>CL-FUNC-NEG-5</v>
      </c>
      <c r="D41" s="35" t="s">
        <v>60</v>
      </c>
      <c r="E41" s="35" t="s">
        <v>160</v>
      </c>
      <c r="F41" s="35" t="s">
        <v>168</v>
      </c>
      <c r="G41" s="35" t="s">
        <v>165</v>
      </c>
      <c r="H41" s="35" t="s">
        <v>223</v>
      </c>
      <c r="I41" s="59" t="s">
        <v>224</v>
      </c>
      <c r="J41" s="71"/>
      <c r="K41" s="75" t="s">
        <v>301</v>
      </c>
    </row>
    <row r="42" spans="2:11" ht="259.2" x14ac:dyDescent="0.3">
      <c r="B42" s="36" t="s">
        <v>156</v>
      </c>
      <c r="C42" s="35" t="str">
        <f>'Чек лист'!A43</f>
        <v>CL-FUNC-NEG-6</v>
      </c>
      <c r="D42" s="35" t="s">
        <v>227</v>
      </c>
      <c r="E42" s="35" t="s">
        <v>160</v>
      </c>
      <c r="F42" s="35" t="s">
        <v>218</v>
      </c>
      <c r="G42" s="35" t="s">
        <v>225</v>
      </c>
      <c r="H42" s="35" t="s">
        <v>226</v>
      </c>
      <c r="I42" s="59" t="s">
        <v>228</v>
      </c>
      <c r="J42" s="71"/>
      <c r="K42" s="75" t="s">
        <v>301</v>
      </c>
    </row>
    <row r="43" spans="2:11" ht="259.2" x14ac:dyDescent="0.3">
      <c r="B43" s="36" t="s">
        <v>157</v>
      </c>
      <c r="C43" s="35" t="str">
        <f>'Чек лист'!A44</f>
        <v>CL-FUNC-NEG-7</v>
      </c>
      <c r="D43" s="35" t="s">
        <v>55</v>
      </c>
      <c r="E43" s="35" t="s">
        <v>160</v>
      </c>
      <c r="F43" s="35" t="s">
        <v>233</v>
      </c>
      <c r="G43" s="35" t="s">
        <v>165</v>
      </c>
      <c r="H43" s="35" t="s">
        <v>234</v>
      </c>
      <c r="I43" s="59" t="s">
        <v>235</v>
      </c>
      <c r="J43" s="71"/>
      <c r="K43" s="75" t="s">
        <v>301</v>
      </c>
    </row>
    <row r="44" spans="2:11" ht="259.2" x14ac:dyDescent="0.3">
      <c r="B44" s="36" t="s">
        <v>158</v>
      </c>
      <c r="C44" s="35" t="str">
        <f>'Чек лист'!A45</f>
        <v>CL-FUNC-NEG-8</v>
      </c>
      <c r="D44" s="35" t="s">
        <v>56</v>
      </c>
      <c r="E44" s="35" t="s">
        <v>160</v>
      </c>
      <c r="F44" s="35" t="s">
        <v>236</v>
      </c>
      <c r="G44" s="35" t="s">
        <v>165</v>
      </c>
      <c r="H44" s="35" t="s">
        <v>182</v>
      </c>
      <c r="I44" s="59" t="s">
        <v>237</v>
      </c>
      <c r="J44" s="71"/>
      <c r="K44" s="75" t="s">
        <v>301</v>
      </c>
    </row>
    <row r="45" spans="2:11" ht="259.8" thickBot="1" x14ac:dyDescent="0.35">
      <c r="B45" s="39" t="s">
        <v>159</v>
      </c>
      <c r="C45" s="49" t="str">
        <f>'Чек лист'!$A$53</f>
        <v>CL-SMOKE-NEG-1</v>
      </c>
      <c r="D45" s="49" t="s">
        <v>68</v>
      </c>
      <c r="E45" s="49" t="s">
        <v>160</v>
      </c>
      <c r="F45" s="49" t="s">
        <v>168</v>
      </c>
      <c r="G45" s="49" t="s">
        <v>165</v>
      </c>
      <c r="H45" s="49" t="s">
        <v>238</v>
      </c>
      <c r="I45" s="63" t="s">
        <v>239</v>
      </c>
      <c r="J45" s="72"/>
      <c r="K45" s="76" t="s">
        <v>301</v>
      </c>
    </row>
    <row r="48" spans="2:11" x14ac:dyDescent="0.3">
      <c r="I48" s="34"/>
    </row>
    <row r="49" spans="2:9" x14ac:dyDescent="0.3">
      <c r="B49" s="34"/>
      <c r="C49" s="34"/>
      <c r="D49" s="34"/>
      <c r="E49" s="34"/>
      <c r="F49" s="34"/>
      <c r="G49" s="34"/>
      <c r="H49" s="34"/>
      <c r="I49" s="34"/>
    </row>
    <row r="50" spans="2:9" x14ac:dyDescent="0.3">
      <c r="B50" s="34"/>
      <c r="C50" s="34"/>
      <c r="D50" s="34"/>
      <c r="E50" s="34"/>
      <c r="F50" s="34"/>
      <c r="G50" s="34"/>
      <c r="H50" s="34"/>
      <c r="I50" s="34"/>
    </row>
    <row r="51" spans="2:9" x14ac:dyDescent="0.3">
      <c r="B51" s="34"/>
      <c r="C51" s="34"/>
      <c r="D51" s="34"/>
      <c r="E51" s="34"/>
      <c r="F51" s="34"/>
      <c r="G51" s="34"/>
      <c r="H51" s="34"/>
      <c r="I51" s="34"/>
    </row>
    <row r="52" spans="2:9" x14ac:dyDescent="0.3">
      <c r="B52" s="34"/>
      <c r="C52" s="34"/>
      <c r="D52" s="34"/>
      <c r="E52" s="34"/>
      <c r="F52" s="34"/>
      <c r="G52" s="34"/>
      <c r="H52" s="34"/>
      <c r="I52" s="34"/>
    </row>
    <row r="53" spans="2:9" x14ac:dyDescent="0.3">
      <c r="B53" s="34"/>
      <c r="C53" s="34"/>
      <c r="D53" s="34"/>
      <c r="E53" s="34"/>
      <c r="F53" s="34"/>
      <c r="G53" s="34"/>
      <c r="H53" s="34"/>
      <c r="I53" s="34"/>
    </row>
    <row r="54" spans="2:9" x14ac:dyDescent="0.3">
      <c r="B54" s="34"/>
      <c r="C54" s="34"/>
      <c r="D54" s="34"/>
      <c r="E54" s="34"/>
      <c r="F54" s="34"/>
      <c r="G54" s="34"/>
      <c r="H54" s="34"/>
      <c r="I54" s="34"/>
    </row>
    <row r="55" spans="2:9" x14ac:dyDescent="0.3">
      <c r="B55" s="34"/>
      <c r="C55" s="34"/>
      <c r="D55" s="34"/>
      <c r="E55" s="34"/>
      <c r="F55" s="34"/>
      <c r="G55" s="34"/>
      <c r="H55" s="34"/>
      <c r="I55" s="34"/>
    </row>
  </sheetData>
  <mergeCells count="3">
    <mergeCell ref="B3:C3"/>
    <mergeCell ref="B13:J13"/>
    <mergeCell ref="E36:K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4"/>
  <sheetViews>
    <sheetView topLeftCell="Q25" zoomScaleNormal="100" workbookViewId="0">
      <selection activeCell="W24" sqref="W24"/>
    </sheetView>
  </sheetViews>
  <sheetFormatPr defaultRowHeight="14.4" x14ac:dyDescent="0.3"/>
  <cols>
    <col min="3" max="3" width="26.77734375" customWidth="1"/>
    <col min="6" max="6" width="29.109375" customWidth="1"/>
    <col min="7" max="7" width="71.5546875" customWidth="1"/>
    <col min="9" max="9" width="9.21875" customWidth="1"/>
    <col min="10" max="10" width="33.6640625" customWidth="1"/>
    <col min="11" max="11" width="36" customWidth="1"/>
    <col min="14" max="14" width="43.6640625" customWidth="1"/>
    <col min="15" max="15" width="65.88671875" customWidth="1"/>
    <col min="18" max="18" width="41.21875" customWidth="1"/>
    <col min="19" max="19" width="44.109375" customWidth="1"/>
    <col min="22" max="22" width="35.5546875" customWidth="1"/>
    <col min="23" max="23" width="53.44140625" customWidth="1"/>
  </cols>
  <sheetData>
    <row r="1" spans="2:39" ht="15" thickBot="1" x14ac:dyDescent="0.35"/>
    <row r="2" spans="2:39" x14ac:dyDescent="0.3">
      <c r="B2" s="83" t="s">
        <v>0</v>
      </c>
      <c r="C2" s="84"/>
    </row>
    <row r="3" spans="2:39" ht="43.2" x14ac:dyDescent="0.3">
      <c r="B3" s="36" t="s">
        <v>1</v>
      </c>
      <c r="C3" s="37" t="s">
        <v>240</v>
      </c>
    </row>
    <row r="4" spans="2:39" x14ac:dyDescent="0.3">
      <c r="B4" s="36" t="s">
        <v>2</v>
      </c>
      <c r="C4" s="37" t="s">
        <v>8</v>
      </c>
    </row>
    <row r="5" spans="2:39" x14ac:dyDescent="0.3">
      <c r="B5" s="36" t="s">
        <v>3</v>
      </c>
      <c r="C5" s="37" t="s">
        <v>7</v>
      </c>
    </row>
    <row r="6" spans="2:39" x14ac:dyDescent="0.3">
      <c r="B6" s="36" t="s">
        <v>4</v>
      </c>
      <c r="C6" s="38">
        <v>46066</v>
      </c>
    </row>
    <row r="7" spans="2:39" ht="43.8" thickBot="1" x14ac:dyDescent="0.35">
      <c r="B7" s="39" t="s">
        <v>5</v>
      </c>
      <c r="C7" s="40" t="s">
        <v>241</v>
      </c>
    </row>
    <row r="8" spans="2:39" x14ac:dyDescent="0.3">
      <c r="F8" s="34"/>
      <c r="G8" s="34"/>
    </row>
    <row r="9" spans="2:39" x14ac:dyDescent="0.3">
      <c r="F9" s="34"/>
      <c r="G9" s="34"/>
    </row>
    <row r="10" spans="2:39" ht="15" thickBot="1" x14ac:dyDescent="0.35">
      <c r="F10" s="34"/>
      <c r="G10" s="34"/>
    </row>
    <row r="11" spans="2:39" x14ac:dyDescent="0.3">
      <c r="F11" s="64" t="s">
        <v>89</v>
      </c>
      <c r="G11" s="65" t="s">
        <v>259</v>
      </c>
      <c r="H11" s="34"/>
      <c r="I11" s="34"/>
      <c r="J11" s="64" t="s">
        <v>89</v>
      </c>
      <c r="K11" s="65" t="s">
        <v>260</v>
      </c>
      <c r="L11" s="34"/>
      <c r="M11" s="34"/>
      <c r="N11" s="64" t="s">
        <v>89</v>
      </c>
      <c r="O11" s="65" t="s">
        <v>268</v>
      </c>
      <c r="P11" s="34"/>
      <c r="Q11" s="34"/>
      <c r="R11" s="64" t="s">
        <v>89</v>
      </c>
      <c r="S11" s="65" t="s">
        <v>273</v>
      </c>
      <c r="T11" s="34"/>
      <c r="U11" s="34"/>
      <c r="V11" s="64" t="s">
        <v>89</v>
      </c>
      <c r="W11" s="65" t="s">
        <v>279</v>
      </c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</row>
    <row r="12" spans="2:39" ht="28.8" x14ac:dyDescent="0.3">
      <c r="F12" s="36" t="s">
        <v>251</v>
      </c>
      <c r="G12" s="37" t="s">
        <v>44</v>
      </c>
      <c r="H12" s="34"/>
      <c r="I12" s="34"/>
      <c r="J12" s="36" t="s">
        <v>251</v>
      </c>
      <c r="K12" s="67" t="s">
        <v>261</v>
      </c>
      <c r="L12" s="34"/>
      <c r="M12" s="34"/>
      <c r="N12" s="36" t="s">
        <v>251</v>
      </c>
      <c r="O12" s="67" t="s">
        <v>267</v>
      </c>
      <c r="P12" s="34"/>
      <c r="Q12" s="34"/>
      <c r="R12" s="36" t="s">
        <v>251</v>
      </c>
      <c r="S12" s="67" t="s">
        <v>275</v>
      </c>
      <c r="T12" s="34"/>
      <c r="U12" s="34"/>
      <c r="V12" s="36" t="s">
        <v>251</v>
      </c>
      <c r="W12" s="67" t="s">
        <v>280</v>
      </c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</row>
    <row r="13" spans="2:39" x14ac:dyDescent="0.3">
      <c r="F13" s="36" t="s">
        <v>243</v>
      </c>
      <c r="G13" s="37" t="s">
        <v>252</v>
      </c>
      <c r="H13" s="34"/>
      <c r="I13" s="34"/>
      <c r="J13" s="36" t="s">
        <v>243</v>
      </c>
      <c r="K13" s="37" t="s">
        <v>252</v>
      </c>
      <c r="L13" s="34"/>
      <c r="M13" s="34"/>
      <c r="N13" s="36" t="s">
        <v>243</v>
      </c>
      <c r="O13" s="37" t="s">
        <v>252</v>
      </c>
      <c r="P13" s="34"/>
      <c r="Q13" s="34"/>
      <c r="R13" s="36" t="s">
        <v>243</v>
      </c>
      <c r="S13" s="37" t="s">
        <v>252</v>
      </c>
      <c r="T13" s="34"/>
      <c r="U13" s="34"/>
      <c r="V13" s="36" t="s">
        <v>243</v>
      </c>
      <c r="W13" s="37" t="s">
        <v>252</v>
      </c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</row>
    <row r="14" spans="2:39" x14ac:dyDescent="0.3">
      <c r="F14" s="36" t="s">
        <v>250</v>
      </c>
      <c r="G14" s="66" t="str">
        <f>'Чек лист'!$D$9</f>
        <v>Major</v>
      </c>
      <c r="H14" s="34"/>
      <c r="I14" s="34"/>
      <c r="J14" s="36" t="s">
        <v>250</v>
      </c>
      <c r="K14" s="66" t="str">
        <f>'Чек лист'!$D$8</f>
        <v>Minor</v>
      </c>
      <c r="L14" s="34"/>
      <c r="M14" s="34"/>
      <c r="N14" s="36" t="s">
        <v>250</v>
      </c>
      <c r="O14" s="66" t="str">
        <f>'Чек лист'!$D$9</f>
        <v>Major</v>
      </c>
      <c r="P14" s="34"/>
      <c r="Q14" s="34"/>
      <c r="R14" s="36" t="s">
        <v>250</v>
      </c>
      <c r="S14" s="66" t="str">
        <f>'Чек лист'!$B$10</f>
        <v>Trivial</v>
      </c>
      <c r="T14" s="34"/>
      <c r="U14" s="34"/>
      <c r="V14" s="36" t="s">
        <v>250</v>
      </c>
      <c r="W14" s="66" t="str">
        <f>'Чек лист'!$D$9</f>
        <v>Major</v>
      </c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</row>
    <row r="15" spans="2:39" x14ac:dyDescent="0.3">
      <c r="F15" s="36" t="s">
        <v>244</v>
      </c>
      <c r="G15" s="37" t="s">
        <v>29</v>
      </c>
      <c r="H15" s="34"/>
      <c r="I15" s="34"/>
      <c r="J15" s="36" t="s">
        <v>244</v>
      </c>
      <c r="K15" s="41" t="str">
        <f>'Чек лист'!$A$20</f>
        <v>Средний</v>
      </c>
      <c r="L15" s="34"/>
      <c r="M15" s="34"/>
      <c r="N15" s="36" t="s">
        <v>244</v>
      </c>
      <c r="O15" s="37" t="s">
        <v>29</v>
      </c>
      <c r="P15" s="34"/>
      <c r="Q15" s="34"/>
      <c r="R15" s="36" t="s">
        <v>244</v>
      </c>
      <c r="S15" s="37" t="s">
        <v>29</v>
      </c>
      <c r="T15" s="34"/>
      <c r="U15" s="34"/>
      <c r="V15" s="36" t="s">
        <v>244</v>
      </c>
      <c r="W15" s="37" t="s">
        <v>29</v>
      </c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</row>
    <row r="16" spans="2:39" x14ac:dyDescent="0.3">
      <c r="F16" s="36" t="s">
        <v>245</v>
      </c>
      <c r="G16" s="66" t="s">
        <v>255</v>
      </c>
      <c r="H16" s="34"/>
      <c r="I16" s="34"/>
      <c r="J16" s="36" t="s">
        <v>245</v>
      </c>
      <c r="K16" s="66" t="s">
        <v>255</v>
      </c>
      <c r="L16" s="34"/>
      <c r="M16" s="34"/>
      <c r="N16" s="36" t="s">
        <v>245</v>
      </c>
      <c r="O16" s="66" t="s">
        <v>269</v>
      </c>
      <c r="P16" s="34"/>
      <c r="Q16" s="34"/>
      <c r="R16" s="36" t="s">
        <v>245</v>
      </c>
      <c r="S16" s="66" t="s">
        <v>255</v>
      </c>
      <c r="T16" s="34"/>
      <c r="U16" s="34"/>
      <c r="V16" s="36" t="s">
        <v>245</v>
      </c>
      <c r="W16" s="66" t="s">
        <v>255</v>
      </c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</row>
    <row r="17" spans="6:39" x14ac:dyDescent="0.3">
      <c r="F17" s="36" t="s">
        <v>3</v>
      </c>
      <c r="G17" s="37" t="s">
        <v>253</v>
      </c>
      <c r="H17" s="34"/>
      <c r="I17" s="34"/>
      <c r="J17" s="36" t="s">
        <v>3</v>
      </c>
      <c r="K17" s="37" t="s">
        <v>253</v>
      </c>
      <c r="L17" s="34"/>
      <c r="M17" s="34"/>
      <c r="N17" s="36" t="s">
        <v>3</v>
      </c>
      <c r="O17" s="37" t="s">
        <v>253</v>
      </c>
      <c r="P17" s="34"/>
      <c r="Q17" s="34"/>
      <c r="R17" s="36" t="s">
        <v>3</v>
      </c>
      <c r="S17" s="37" t="s">
        <v>253</v>
      </c>
      <c r="T17" s="34"/>
      <c r="U17" s="34"/>
      <c r="V17" s="36" t="s">
        <v>3</v>
      </c>
      <c r="W17" s="37" t="s">
        <v>253</v>
      </c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</row>
    <row r="18" spans="6:39" x14ac:dyDescent="0.3">
      <c r="F18" s="36" t="s">
        <v>246</v>
      </c>
      <c r="G18" s="37" t="s">
        <v>254</v>
      </c>
      <c r="H18" s="34"/>
      <c r="I18" s="34"/>
      <c r="J18" s="36" t="s">
        <v>246</v>
      </c>
      <c r="K18" s="37" t="s">
        <v>264</v>
      </c>
      <c r="L18" s="34"/>
      <c r="M18" s="34"/>
      <c r="N18" s="36" t="s">
        <v>246</v>
      </c>
      <c r="O18" s="37" t="s">
        <v>264</v>
      </c>
      <c r="P18" s="34"/>
      <c r="Q18" s="34"/>
      <c r="R18" s="36" t="s">
        <v>246</v>
      </c>
      <c r="S18" s="37" t="s">
        <v>264</v>
      </c>
      <c r="T18" s="34"/>
      <c r="U18" s="34"/>
      <c r="V18" s="36" t="s">
        <v>246</v>
      </c>
      <c r="W18" s="37" t="s">
        <v>254</v>
      </c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</row>
    <row r="19" spans="6:39" ht="100.8" x14ac:dyDescent="0.3">
      <c r="F19" s="36" t="s">
        <v>247</v>
      </c>
      <c r="G19" s="37" t="s">
        <v>263</v>
      </c>
      <c r="H19" s="34"/>
      <c r="I19" s="34"/>
      <c r="J19" s="36" t="s">
        <v>247</v>
      </c>
      <c r="K19" s="37" t="s">
        <v>262</v>
      </c>
      <c r="L19" s="34"/>
      <c r="M19" s="34"/>
      <c r="N19" s="36" t="s">
        <v>247</v>
      </c>
      <c r="O19" s="37" t="s">
        <v>270</v>
      </c>
      <c r="P19" s="34"/>
      <c r="Q19" s="34"/>
      <c r="R19" s="36" t="s">
        <v>247</v>
      </c>
      <c r="S19" s="37" t="s">
        <v>274</v>
      </c>
      <c r="T19" s="34"/>
      <c r="U19" s="34"/>
      <c r="V19" s="36" t="s">
        <v>247</v>
      </c>
      <c r="W19" s="37" t="s">
        <v>281</v>
      </c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</row>
    <row r="20" spans="6:39" ht="100.8" customHeight="1" x14ac:dyDescent="0.3">
      <c r="F20" s="36" t="s">
        <v>248</v>
      </c>
      <c r="G20" s="37" t="s">
        <v>257</v>
      </c>
      <c r="H20" s="34"/>
      <c r="I20" s="34"/>
      <c r="J20" s="36" t="s">
        <v>248</v>
      </c>
      <c r="K20" s="37" t="s">
        <v>265</v>
      </c>
      <c r="L20" s="34"/>
      <c r="M20" s="34"/>
      <c r="N20" s="36" t="s">
        <v>248</v>
      </c>
      <c r="O20" s="37" t="s">
        <v>265</v>
      </c>
      <c r="P20" s="34"/>
      <c r="Q20" s="34"/>
      <c r="R20" s="36" t="s">
        <v>248</v>
      </c>
      <c r="S20" s="37" t="s">
        <v>276</v>
      </c>
      <c r="T20" s="34"/>
      <c r="U20" s="34"/>
      <c r="V20" s="36" t="s">
        <v>248</v>
      </c>
      <c r="W20" s="37" t="s">
        <v>283</v>
      </c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</row>
    <row r="21" spans="6:39" ht="57.6" x14ac:dyDescent="0.3">
      <c r="F21" s="36" t="s">
        <v>33</v>
      </c>
      <c r="G21" s="37" t="s">
        <v>256</v>
      </c>
      <c r="H21" s="34"/>
      <c r="I21" s="34"/>
      <c r="J21" s="36" t="s">
        <v>33</v>
      </c>
      <c r="K21" s="37" t="s">
        <v>88</v>
      </c>
      <c r="L21" s="34"/>
      <c r="M21" s="34"/>
      <c r="N21" s="36" t="s">
        <v>33</v>
      </c>
      <c r="O21" s="37" t="s">
        <v>272</v>
      </c>
      <c r="P21" s="34"/>
      <c r="Q21" s="34"/>
      <c r="R21" s="36" t="s">
        <v>33</v>
      </c>
      <c r="S21" s="37" t="s">
        <v>277</v>
      </c>
      <c r="T21" s="34"/>
      <c r="U21" s="34"/>
      <c r="V21" s="36" t="s">
        <v>33</v>
      </c>
      <c r="W21" s="37" t="s">
        <v>284</v>
      </c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</row>
    <row r="22" spans="6:39" ht="288.60000000000002" thickBot="1" x14ac:dyDescent="0.35">
      <c r="F22" s="39" t="s">
        <v>249</v>
      </c>
      <c r="G22" s="40" t="s">
        <v>258</v>
      </c>
      <c r="H22" s="34"/>
      <c r="I22" s="34"/>
      <c r="J22" s="39" t="s">
        <v>249</v>
      </c>
      <c r="K22" s="40" t="s">
        <v>266</v>
      </c>
      <c r="L22" s="34"/>
      <c r="M22" s="34"/>
      <c r="N22" s="39" t="s">
        <v>249</v>
      </c>
      <c r="O22" s="40" t="s">
        <v>271</v>
      </c>
      <c r="P22" s="34"/>
      <c r="Q22" s="34"/>
      <c r="R22" s="39" t="s">
        <v>249</v>
      </c>
      <c r="S22" s="40" t="s">
        <v>278</v>
      </c>
      <c r="T22" s="34"/>
      <c r="U22" s="34"/>
      <c r="V22" s="39" t="s">
        <v>249</v>
      </c>
      <c r="W22" s="40" t="s">
        <v>282</v>
      </c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</row>
    <row r="23" spans="6:39" x14ac:dyDescent="0.3">
      <c r="F23" s="34"/>
      <c r="G23" s="34"/>
    </row>
    <row r="24" spans="6:39" ht="100.8" x14ac:dyDescent="0.3">
      <c r="F24" s="23" t="s">
        <v>287</v>
      </c>
      <c r="G24" s="23" t="s">
        <v>288</v>
      </c>
      <c r="J24" s="23" t="s">
        <v>287</v>
      </c>
      <c r="K24" s="23" t="s">
        <v>289</v>
      </c>
      <c r="N24" s="23" t="s">
        <v>287</v>
      </c>
      <c r="O24" s="23" t="s">
        <v>290</v>
      </c>
      <c r="R24" s="23" t="s">
        <v>287</v>
      </c>
      <c r="S24" s="23" t="s">
        <v>291</v>
      </c>
      <c r="V24" s="23" t="s">
        <v>287</v>
      </c>
      <c r="W24" s="23" t="s">
        <v>292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 лист</vt:lpstr>
      <vt:lpstr>Тест кейсы</vt:lpstr>
      <vt:lpstr>Баг репорты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2026-02-13T12:37:09Z</dcterms:modified>
</cp:coreProperties>
</file>